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mbers" sheetId="1" state="visible" r:id="rId1"/>
    <sheet xmlns:r="http://schemas.openxmlformats.org/officeDocument/2006/relationships" name="Touchpoints" sheetId="2" state="visible" r:id="rId2"/>
    <sheet xmlns:r="http://schemas.openxmlformats.org/officeDocument/2006/relationships" name="Weekly pulse" sheetId="3" state="visible" r:id="rId3"/>
    <sheet xmlns:r="http://schemas.openxmlformats.org/officeDocument/2006/relationships" name="How to use" sheetId="4" state="visible" r:id="rId4"/>
    <sheet xmlns:r="http://schemas.openxmlformats.org/officeDocument/2006/relationships" name="Status history" sheetId="5" state="visible" r:id="rId5"/>
    <sheet xmlns:r="http://schemas.openxmlformats.org/officeDocument/2006/relationships" name="Drafts" sheetId="6" state="visible" r:id="rId6"/>
    <sheet xmlns:r="http://schemas.openxmlformats.org/officeDocument/2006/relationships" name="Conversion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corecard" sheetId="9" state="visible" r:id="rId9"/>
    <sheet xmlns:r="http://schemas.openxmlformats.org/officeDocument/2006/relationships" name="Run log" sheetId="10" state="visible" r:id="rId10"/>
  </sheets>
  <definedNames>
    <definedName name="_xlnm._FilterDatabase" localSheetId="0" hidden="1">'Members'!$A$1:$J$153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 d, yyyy"/>
    <numFmt numFmtId="165" formatCode="[=0]&quot;Today&quot;;[=1]&quot;1 day&quot;;0&quot; days&quot;"/>
    <numFmt numFmtId="166" formatCode="yyyy-mm-dd"/>
  </numFmts>
  <fonts count="9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2"/>
    </font>
    <font>
      <name val="Arial"/>
      <color theme="1"/>
      <sz val="10"/>
    </font>
    <font>
      <name val="Calibri"/>
      <color theme="1"/>
      <sz val="11"/>
    </font>
    <font>
      <name val="Calibri"/>
      <color theme="1"/>
      <scheme val="minor"/>
    </font>
    <font>
      <name val="Arial"/>
      <color rgb="FF1155CC"/>
      <sz val="10"/>
    </font>
    <font>
      <name val="Calibri"/>
      <color rgb="FF888888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FF1F2A44"/>
        <bgColor rgb="FF1F2A44"/>
      </patternFill>
    </fill>
  </fills>
  <borders count="3">
    <border/>
    <border>
      <left/>
      <right/>
      <top/>
      <bottom/>
    </border>
    <border>
      <bottom style="thin">
        <color rgb="FFD9DEE7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0" pivotButton="0" quotePrefix="0" xfId="0"/>
    <xf numFmtId="0" fontId="6" fillId="0" borderId="2" pivotButton="0" quotePrefix="0" xfId="0"/>
    <xf numFmtId="164" fontId="3" fillId="0" borderId="2" pivotButton="0" quotePrefix="0" xfId="0"/>
    <xf numFmtId="0" fontId="3" fillId="0" borderId="2" pivotButton="0" quotePrefix="0" xfId="0"/>
    <xf numFmtId="165" fontId="3" fillId="0" borderId="2" pivotButton="0" quotePrefix="0" xfId="0"/>
    <xf numFmtId="166" fontId="7" fillId="0" borderId="0" pivotButton="0" quotePrefix="0" xfId="0"/>
    <xf numFmtId="166" fontId="5" fillId="0" borderId="0" pivotButton="0" quotePrefix="0" xfId="0"/>
    <xf numFmtId="14" fontId="5" fillId="0" borderId="0" pivotButton="0" quotePrefix="0" xfId="0"/>
    <xf numFmtId="165" fontId="5" fillId="0" borderId="0" pivotButton="0" quotePrefix="0" xfId="0"/>
    <xf numFmtId="166" fontId="7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18" min="1" max="1"/>
    <col width="14" customWidth="1" style="18" min="2" max="3"/>
    <col width="10" customWidth="1" style="18" min="4" max="4"/>
    <col width="18" customWidth="1" style="18" min="5" max="6"/>
    <col width="14" customWidth="1" style="18" min="7" max="7"/>
    <col width="34" customWidth="1" style="18" min="8" max="8"/>
    <col width="30" customWidth="1" style="18" min="9" max="10"/>
    <col width="8.710000000000001" customWidth="1" style="18" min="11" max="26"/>
  </cols>
  <sheetData>
    <row r="1" ht="30" customHeight="1" s="18">
      <c r="A1" s="6" t="inlineStr">
        <is>
          <t>Member</t>
        </is>
      </c>
      <c r="B1" s="6" t="inlineStr">
        <is>
          <t>Join date</t>
        </is>
      </c>
      <c r="C1" s="6" t="inlineStr">
        <is>
          <t>Renewal date</t>
        </is>
      </c>
      <c r="D1" s="6" t="inlineStr">
        <is>
          <t>Status</t>
        </is>
      </c>
      <c r="E1" s="6" t="inlineStr">
        <is>
          <t>Last active in Skool (days ago)</t>
        </is>
      </c>
      <c r="F1" s="6" t="inlineStr">
        <is>
          <t>Last contact (auto)</t>
        </is>
      </c>
      <c r="G1" s="6" t="inlineStr">
        <is>
          <t>Days since contact</t>
        </is>
      </c>
      <c r="H1" s="6" t="inlineStr">
        <is>
          <t>Current goal</t>
        </is>
      </c>
      <c r="I1" s="6" t="inlineStr">
        <is>
          <t>Next action</t>
        </is>
      </c>
      <c r="J1" s="6" t="inlineStr">
        <is>
          <t>Notes</t>
        </is>
      </c>
      <c r="K1" s="8" t="inlineStr">
        <is>
          <t>Last active date (auto, used by nightly sync)</t>
        </is>
      </c>
      <c r="L1" s="19" t="inlineStr">
        <is>
          <t>member_id</t>
        </is>
      </c>
      <c r="M1" s="19" t="inlineStr">
        <is>
          <t>channel</t>
        </is>
      </c>
      <c r="N1" s="19" t="inlineStr">
        <is>
          <t>profile_link</t>
        </is>
      </c>
      <c r="O1" s="19" t="inlineStr">
        <is>
          <t>plan_value</t>
        </is>
      </c>
      <c r="P1" s="19" t="inlineStr">
        <is>
          <t>opted_out</t>
        </is>
      </c>
      <c r="Q1" s="19" t="inlineStr">
        <is>
          <t>skip</t>
        </is>
      </c>
      <c r="R1" s="19" t="inlineStr">
        <is>
          <t>email</t>
        </is>
      </c>
      <c r="S1" s="19" t="inlineStr">
        <is>
          <t>posts</t>
        </is>
      </c>
      <c r="T1" s="19" t="inlineStr">
        <is>
          <t>intro_posted</t>
        </is>
      </c>
    </row>
    <row r="2">
      <c r="A2" s="9" t="inlineStr">
        <is>
          <t>Owen Fontaine</t>
        </is>
      </c>
      <c r="B2" s="10" t="n">
        <v>45940</v>
      </c>
      <c r="C2" s="10">
        <f>IF(B2="","",EDATE(B2,12*(DATEDIF(B2,TODAY(),"y")+1)))</f>
        <v/>
      </c>
      <c r="D2" s="11">
        <f>IF(AND(K2="",F2=""),"",IF(OR(AND(K2&lt;&gt;"",TODAY()-K2&gt;=14),AND(F2&lt;&gt;"",TODAY()-F2&gt;=21)),"Red",IF(OR(AND(K2&lt;&gt;"",TODAY()-K2&gt;=7),AND(C2&lt;&gt;"",C2-TODAY()&lt;=30)),"Yellow","Green")))</f>
        <v/>
      </c>
      <c r="E2" s="12">
        <f>IF(K2="","",TODAY()-K2)</f>
        <v/>
      </c>
      <c r="F2" s="10">
        <f>IFERROR(1/(1/MAXIFS(Touchpoints!$A:$A,Touchpoints!$B:$B,A2)),"")</f>
        <v/>
      </c>
      <c r="G2" s="11">
        <f>IF(F2="","",TODAY()-F2)</f>
        <v/>
      </c>
      <c r="H2" s="11" t="inlineStr">
        <is>
          <t>move from freelance to a full-time role</t>
        </is>
      </c>
      <c r="I2" s="11" t="n"/>
      <c r="J2" s="11" t="n"/>
      <c r="K2" s="17" t="n">
        <v>46253</v>
      </c>
      <c r="L2" s="0" t="inlineStr">
        <is>
          <t>M-0001</t>
        </is>
      </c>
      <c r="M2" s="0" t="inlineStr">
        <is>
          <t>none</t>
        </is>
      </c>
      <c r="R2" t="inlineStr">
        <is>
          <t>owen.fontaine@example.com</t>
        </is>
      </c>
      <c r="S2" t="n">
        <v>29</v>
      </c>
      <c r="T2" t="inlineStr">
        <is>
          <t>yes</t>
        </is>
      </c>
    </row>
    <row r="3">
      <c r="A3" s="9" t="inlineStr">
        <is>
          <t>Tomas Grimshaw</t>
        </is>
      </c>
      <c r="B3" s="10" t="n">
        <v>45580</v>
      </c>
      <c r="C3" s="10">
        <f>IF(B3="","",EDATE(B3,12*(DATEDIF(B3,TODAY(),"y")+1)))</f>
        <v/>
      </c>
      <c r="D3" s="11">
        <f>IF(AND(K3="",F3=""),"",IF(OR(AND(K3&lt;&gt;"",TODAY()-K3&gt;=14),AND(F3&lt;&gt;"",TODAY()-F3&gt;=21)),"Red",IF(OR(AND(K3&lt;&gt;"",TODAY()-K3&gt;=7),AND(C3&lt;&gt;"",C3-TODAY()&lt;=30)),"Yellow","Green")))</f>
        <v/>
      </c>
      <c r="E3" s="12">
        <f>IF(K3="","",TODAY()-K3)</f>
        <v/>
      </c>
      <c r="F3" s="10">
        <f>IFERROR(1/(1/MAXIFS(Touchpoints!$A:$A,Touchpoints!$B:$B,A3)),"")</f>
        <v/>
      </c>
      <c r="G3" s="11">
        <f>IF(F3="","",TODAY()-F3)</f>
        <v/>
      </c>
      <c r="H3" s="11" t="n"/>
      <c r="I3" s="11" t="n"/>
      <c r="J3" s="11" t="n"/>
      <c r="K3" s="17" t="n">
        <v>46024</v>
      </c>
      <c r="L3" s="0" t="inlineStr">
        <is>
          <t>M-0002</t>
        </is>
      </c>
      <c r="M3" s="0" t="inlineStr">
        <is>
          <t>none</t>
        </is>
      </c>
      <c r="R3" t="inlineStr">
        <is>
          <t>tomas.grimshaw@example.com</t>
        </is>
      </c>
      <c r="S3" t="n">
        <v>36</v>
      </c>
      <c r="T3" t="inlineStr">
        <is>
          <t>yes</t>
        </is>
      </c>
    </row>
    <row r="4">
      <c r="A4" s="9" t="inlineStr">
        <is>
          <t>Terrence Vanderbilt</t>
        </is>
      </c>
      <c r="B4" s="10" t="n">
        <v>45948</v>
      </c>
      <c r="C4" s="10">
        <f>IF(B4="","",EDATE(B4,12*(DATEDIF(B4,TODAY(),"y")+1)))</f>
        <v/>
      </c>
      <c r="D4" s="11">
        <f>IF(AND(K4="",F4=""),"",IF(OR(AND(K4&lt;&gt;"",TODAY()-K4&gt;=14),AND(F4&lt;&gt;"",TODAY()-F4&gt;=21)),"Red",IF(OR(AND(K4&lt;&gt;"",TODAY()-K4&gt;=7),AND(C4&lt;&gt;"",C4-TODAY()&lt;=30)),"Yellow","Green")))</f>
        <v/>
      </c>
      <c r="E4" s="12">
        <f>IF(K4="","",TODAY()-K4)</f>
        <v/>
      </c>
      <c r="F4" s="10">
        <f>IFERROR(1/(1/MAXIFS(Touchpoints!$A:$A,Touchpoints!$B:$B,A4)),"")</f>
        <v/>
      </c>
      <c r="G4" s="11">
        <f>IF(F4="","",TODAY()-F4)</f>
        <v/>
      </c>
      <c r="H4" s="11" t="n"/>
      <c r="I4" s="11" t="n"/>
      <c r="J4" s="11" t="n"/>
      <c r="K4" s="17" t="n">
        <v>46301</v>
      </c>
      <c r="L4" s="0" t="inlineStr">
        <is>
          <t>M-0003</t>
        </is>
      </c>
      <c r="M4" s="0" t="inlineStr">
        <is>
          <t>none</t>
        </is>
      </c>
      <c r="R4" t="inlineStr">
        <is>
          <t>terrence.vanderbilt@example.com</t>
        </is>
      </c>
      <c r="S4" t="n">
        <v>30</v>
      </c>
      <c r="T4" t="inlineStr">
        <is>
          <t>yes</t>
        </is>
      </c>
    </row>
    <row r="5">
      <c r="A5" s="9" t="inlineStr">
        <is>
          <t>Niklas Voss</t>
        </is>
      </c>
      <c r="B5" s="10" t="n">
        <v>45950</v>
      </c>
      <c r="C5" s="10">
        <f>IF(B5="","",EDATE(B5,12*(DATEDIF(B5,TODAY(),"y")+1)))</f>
        <v/>
      </c>
      <c r="D5" s="11">
        <f>IF(AND(K5="",F5=""),"",IF(OR(AND(K5&lt;&gt;"",TODAY()-K5&gt;=14),AND(F5&lt;&gt;"",TODAY()-F5&gt;=21)),"Red",IF(OR(AND(K5&lt;&gt;"",TODAY()-K5&gt;=7),AND(C5&lt;&gt;"",C5-TODAY()&lt;=30)),"Yellow","Green")))</f>
        <v/>
      </c>
      <c r="E5" s="12">
        <f>IF(K5="","",TODAY()-K5)</f>
        <v/>
      </c>
      <c r="F5" s="10">
        <f>IFERROR(1/(1/MAXIFS(Touchpoints!$A:$A,Touchpoints!$B:$B,A5)),"")</f>
        <v/>
      </c>
      <c r="G5" s="11">
        <f>IF(F5="","",TODAY()-F5)</f>
        <v/>
      </c>
      <c r="H5" s="11" t="n"/>
      <c r="I5" s="11" t="n"/>
      <c r="J5" s="11" t="n"/>
      <c r="K5" s="17" t="n">
        <v>46304</v>
      </c>
      <c r="L5" s="0" t="inlineStr">
        <is>
          <t>M-0004</t>
        </is>
      </c>
      <c r="M5" s="0" t="inlineStr">
        <is>
          <t>none</t>
        </is>
      </c>
      <c r="R5" t="inlineStr">
        <is>
          <t>niklas.voss@example.com</t>
        </is>
      </c>
      <c r="S5" t="n">
        <v>29</v>
      </c>
      <c r="T5" t="inlineStr">
        <is>
          <t>yes</t>
        </is>
      </c>
    </row>
    <row r="6">
      <c r="A6" s="9" t="inlineStr">
        <is>
          <t>Quentin Wycliffe</t>
        </is>
      </c>
      <c r="B6" s="10" t="n">
        <v>45591</v>
      </c>
      <c r="C6" s="10">
        <f>IF(B6="","",EDATE(B6,12*(DATEDIF(B6,TODAY(),"y")+1)))</f>
        <v/>
      </c>
      <c r="D6" s="11">
        <f>IF(AND(K6="",F6=""),"",IF(OR(AND(K6&lt;&gt;"",TODAY()-K6&gt;=14),AND(F6&lt;&gt;"",TODAY()-F6&gt;=21)),"Red",IF(OR(AND(K6&lt;&gt;"",TODAY()-K6&gt;=7),AND(C6&lt;&gt;"",C6-TODAY()&lt;=30)),"Yellow","Green")))</f>
        <v/>
      </c>
      <c r="E6" s="12">
        <f>IF(K6="","",TODAY()-K6)</f>
        <v/>
      </c>
      <c r="F6" s="10">
        <f>IFERROR(1/(1/MAXIFS(Touchpoints!$A:$A,Touchpoints!$B:$B,A6)),"")</f>
        <v/>
      </c>
      <c r="G6" s="11">
        <f>IF(F6="","",TODAY()-F6)</f>
        <v/>
      </c>
      <c r="H6" s="11" t="n"/>
      <c r="I6" s="11" t="n"/>
      <c r="J6" s="11" t="n"/>
      <c r="K6" s="17" t="n">
        <v>46281</v>
      </c>
      <c r="L6" s="0" t="inlineStr">
        <is>
          <t>M-0005</t>
        </is>
      </c>
      <c r="M6" s="0" t="inlineStr">
        <is>
          <t>none</t>
        </is>
      </c>
      <c r="R6" t="inlineStr">
        <is>
          <t>quentin.wycliffe@example.com</t>
        </is>
      </c>
      <c r="S6" t="n">
        <v>33</v>
      </c>
      <c r="T6" t="inlineStr">
        <is>
          <t>yes</t>
        </is>
      </c>
    </row>
    <row r="7">
      <c r="A7" s="9" t="inlineStr">
        <is>
          <t>Vernon Bramwell</t>
        </is>
      </c>
      <c r="B7" s="10" t="n">
        <v>45957</v>
      </c>
      <c r="C7" s="10">
        <f>IF(B7="","",EDATE(B7,12*(DATEDIF(B7,TODAY(),"y")+1)))</f>
        <v/>
      </c>
      <c r="D7" s="11">
        <f>IF(AND(K7="",F7=""),"",IF(OR(AND(K7&lt;&gt;"",TODAY()-K7&gt;=14),AND(F7&lt;&gt;"",TODAY()-F7&gt;=21)),"Red",IF(OR(AND(K7&lt;&gt;"",TODAY()-K7&gt;=7),AND(C7&lt;&gt;"",C7-TODAY()&lt;=30)),"Yellow","Green")))</f>
        <v/>
      </c>
      <c r="E7" s="12">
        <f>IF(K7="","",TODAY()-K7)</f>
        <v/>
      </c>
      <c r="F7" s="10">
        <f>IFERROR(1/(1/MAXIFS(Touchpoints!$A:$A,Touchpoints!$B:$B,A7)),"")</f>
        <v/>
      </c>
      <c r="G7" s="11">
        <f>IF(F7="","",TODAY()-F7)</f>
        <v/>
      </c>
      <c r="H7" s="11" t="n"/>
      <c r="I7" s="11" t="n"/>
      <c r="J7" s="11" t="n"/>
      <c r="K7" s="17" t="n">
        <v>46306</v>
      </c>
      <c r="L7" s="0" t="inlineStr">
        <is>
          <t>M-0006</t>
        </is>
      </c>
      <c r="M7" s="0" t="inlineStr">
        <is>
          <t>none</t>
        </is>
      </c>
      <c r="R7" t="inlineStr">
        <is>
          <t>vernon.bramwell@example.com</t>
        </is>
      </c>
      <c r="S7" t="n">
        <v>38</v>
      </c>
      <c r="T7" t="inlineStr">
        <is>
          <t>yes</t>
        </is>
      </c>
    </row>
    <row r="8">
      <c r="A8" s="9" t="inlineStr">
        <is>
          <t>Basil Whitfield</t>
        </is>
      </c>
      <c r="B8" s="10" t="n">
        <v>45959</v>
      </c>
      <c r="C8" s="10">
        <f>IF(B8="","",EDATE(B8,12*(DATEDIF(B8,TODAY(),"y")+1)))</f>
        <v/>
      </c>
      <c r="D8" s="11">
        <f>IF(AND(K8="",F8=""),"",IF(OR(AND(K8&lt;&gt;"",TODAY()-K8&gt;=14),AND(F8&lt;&gt;"",TODAY()-F8&gt;=21)),"Red",IF(OR(AND(K8&lt;&gt;"",TODAY()-K8&gt;=7),AND(C8&lt;&gt;"",C8-TODAY()&lt;=30)),"Yellow","Green")))</f>
        <v/>
      </c>
      <c r="E8" s="12">
        <f>IF(K8="","",TODAY()-K8)</f>
        <v/>
      </c>
      <c r="F8" s="10">
        <f>IFERROR(1/(1/MAXIFS(Touchpoints!$A:$A,Touchpoints!$B:$B,A8)),"")</f>
        <v/>
      </c>
      <c r="G8" s="11">
        <f>IF(F8="","",TODAY()-F8)</f>
        <v/>
      </c>
      <c r="H8" s="11" t="n"/>
      <c r="I8" s="11" t="n"/>
      <c r="J8" s="11" t="n"/>
      <c r="K8" s="17" t="n">
        <v>46064</v>
      </c>
      <c r="L8" s="0" t="inlineStr">
        <is>
          <t>M-0007</t>
        </is>
      </c>
      <c r="M8" s="0" t="inlineStr">
        <is>
          <t>none</t>
        </is>
      </c>
      <c r="R8" t="inlineStr">
        <is>
          <t>basil.whitfield@example.com</t>
        </is>
      </c>
      <c r="S8" t="n">
        <v>13</v>
      </c>
      <c r="T8" t="inlineStr">
        <is>
          <t>yes</t>
        </is>
      </c>
    </row>
    <row r="9">
      <c r="A9" s="9" t="inlineStr">
        <is>
          <t>Xavier Yates</t>
        </is>
      </c>
      <c r="B9" s="10" t="n">
        <v>45603</v>
      </c>
      <c r="C9" s="10">
        <f>IF(B9="","",EDATE(B9,12*(DATEDIF(B9,TODAY(),"y")+1)))</f>
        <v/>
      </c>
      <c r="D9" s="11">
        <f>IF(AND(K9="",F9=""),"",IF(OR(AND(K9&lt;&gt;"",TODAY()-K9&gt;=14),AND(F9&lt;&gt;"",TODAY()-F9&gt;=21)),"Red",IF(OR(AND(K9&lt;&gt;"",TODAY()-K9&gt;=7),AND(C9&lt;&gt;"",C9-TODAY()&lt;=30)),"Yellow","Green")))</f>
        <v/>
      </c>
      <c r="E9" s="12">
        <f>IF(K9="","",TODAY()-K9)</f>
        <v/>
      </c>
      <c r="F9" s="10">
        <f>IFERROR(1/(1/MAXIFS(Touchpoints!$A:$A,Touchpoints!$B:$B,A9)),"")</f>
        <v/>
      </c>
      <c r="G9" s="11">
        <f>IF(F9="","",TODAY()-F9)</f>
        <v/>
      </c>
      <c r="H9" s="11" t="n"/>
      <c r="I9" s="11" t="n"/>
      <c r="J9" s="11" t="n"/>
      <c r="K9" s="17" t="n">
        <v>46311</v>
      </c>
      <c r="L9" s="0" t="inlineStr">
        <is>
          <t>M-0008</t>
        </is>
      </c>
      <c r="M9" s="0" t="inlineStr">
        <is>
          <t>none</t>
        </is>
      </c>
      <c r="R9" t="inlineStr">
        <is>
          <t>xavier.yates@example.com</t>
        </is>
      </c>
      <c r="S9" t="n">
        <v>12</v>
      </c>
      <c r="T9" t="inlineStr">
        <is>
          <t>yes</t>
        </is>
      </c>
    </row>
    <row r="10">
      <c r="A10" s="9" t="inlineStr">
        <is>
          <t>Franklin Hawthorne</t>
        </is>
      </c>
      <c r="B10" s="10" t="n">
        <v>45986</v>
      </c>
      <c r="C10" s="10">
        <f>IF(B10="","",EDATE(B10,12*(DATEDIF(B10,TODAY(),"y")+1)))</f>
        <v/>
      </c>
      <c r="D10" s="11">
        <f>IF(AND(K10="",F10=""),"",IF(OR(AND(K10&lt;&gt;"",TODAY()-K10&gt;=14),AND(F10&lt;&gt;"",TODAY()-F10&gt;=21)),"Red",IF(OR(AND(K10&lt;&gt;"",TODAY()-K10&gt;=7),AND(C10&lt;&gt;"",C10-TODAY()&lt;=30)),"Yellow","Green")))</f>
        <v/>
      </c>
      <c r="E10" s="12">
        <f>IF(K10="","",TODAY()-K10)</f>
        <v/>
      </c>
      <c r="F10" s="10">
        <f>IFERROR(1/(1/MAXIFS(Touchpoints!$A:$A,Touchpoints!$B:$B,A10)),"")</f>
        <v/>
      </c>
      <c r="G10" s="11">
        <f>IF(F10="","",TODAY()-F10)</f>
        <v/>
      </c>
      <c r="H10" s="11" t="inlineStr">
        <is>
          <t>record 10 podcast episodes</t>
        </is>
      </c>
      <c r="I10" s="11" t="n"/>
      <c r="J10" s="11" t="inlineStr">
        <is>
          <t>Moderator</t>
        </is>
      </c>
      <c r="K10" s="17" t="n">
        <v>46159</v>
      </c>
      <c r="L10" s="0" t="inlineStr">
        <is>
          <t>M-0009</t>
        </is>
      </c>
      <c r="M10" s="0" t="inlineStr">
        <is>
          <t>none</t>
        </is>
      </c>
      <c r="R10" t="inlineStr">
        <is>
          <t>franklin.hawthorne@example.com</t>
        </is>
      </c>
      <c r="S10" t="n">
        <v>33</v>
      </c>
      <c r="T10" t="inlineStr">
        <is>
          <t>yes</t>
        </is>
      </c>
    </row>
    <row r="11">
      <c r="A11" s="9" t="inlineStr">
        <is>
          <t>Gavin Mumford</t>
        </is>
      </c>
      <c r="B11" s="10" t="n">
        <v>45989</v>
      </c>
      <c r="C11" s="10">
        <f>IF(B11="","",EDATE(B11,12*(DATEDIF(B11,TODAY(),"y")+1)))</f>
        <v/>
      </c>
      <c r="D11" s="11">
        <f>IF(AND(K11="",F11=""),"",IF(OR(AND(K11&lt;&gt;"",TODAY()-K11&gt;=14),AND(F11&lt;&gt;"",TODAY()-F11&gt;=21)),"Red",IF(OR(AND(K11&lt;&gt;"",TODAY()-K11&gt;=7),AND(C11&lt;&gt;"",C11-TODAY()&lt;=30)),"Yellow","Green")))</f>
        <v/>
      </c>
      <c r="E11" s="12">
        <f>IF(K11="","",TODAY()-K11)</f>
        <v/>
      </c>
      <c r="F11" s="10">
        <f>IFERROR(1/(1/MAXIFS(Touchpoints!$A:$A,Touchpoints!$B:$B,A11)),"")</f>
        <v/>
      </c>
      <c r="G11" s="11">
        <f>IF(F11="","",TODAY()-F11)</f>
        <v/>
      </c>
      <c r="H11" s="11" t="n"/>
      <c r="I11" s="11" t="n"/>
      <c r="J11" s="11" t="n"/>
      <c r="K11" s="17" t="n">
        <v>46255</v>
      </c>
      <c r="L11" s="0" t="inlineStr">
        <is>
          <t>M-0010</t>
        </is>
      </c>
      <c r="M11" s="0" t="inlineStr">
        <is>
          <t>none</t>
        </is>
      </c>
      <c r="R11" t="inlineStr">
        <is>
          <t>gavin.mumford@example.com</t>
        </is>
      </c>
      <c r="S11" t="n">
        <v>31</v>
      </c>
      <c r="T11" t="inlineStr">
        <is>
          <t>yes</t>
        </is>
      </c>
    </row>
    <row r="12">
      <c r="A12" s="9" t="inlineStr">
        <is>
          <t>Luigi Northgate</t>
        </is>
      </c>
      <c r="B12" s="10" t="n">
        <v>45650</v>
      </c>
      <c r="C12" s="10">
        <f>IF(B12="","",EDATE(B12,12*(DATEDIF(B12,TODAY(),"y")+1)))</f>
        <v/>
      </c>
      <c r="D12" s="11">
        <f>IF(AND(K12="",F12=""),"",IF(OR(AND(K12&lt;&gt;"",TODAY()-K12&gt;=14),AND(F12&lt;&gt;"",TODAY()-F12&gt;=21)),"Red",IF(OR(AND(K12&lt;&gt;"",TODAY()-K12&gt;=7),AND(C12&lt;&gt;"",C12-TODAY()&lt;=30)),"Yellow","Green")))</f>
        <v/>
      </c>
      <c r="E12" s="12">
        <f>IF(K12="","",TODAY()-K12)</f>
        <v/>
      </c>
      <c r="F12" s="10">
        <f>IFERROR(1/(1/MAXIFS(Touchpoints!$A:$A,Touchpoints!$B:$B,A12)),"")</f>
        <v/>
      </c>
      <c r="G12" s="11">
        <f>IF(F12="","",TODAY()-F12)</f>
        <v/>
      </c>
      <c r="H12" s="11" t="n"/>
      <c r="I12" s="11" t="n"/>
      <c r="J12" s="11" t="n"/>
      <c r="K12" s="17" t="n">
        <v>46311</v>
      </c>
      <c r="L12" s="0" t="inlineStr">
        <is>
          <t>M-0011</t>
        </is>
      </c>
      <c r="M12" s="0" t="inlineStr">
        <is>
          <t>none</t>
        </is>
      </c>
      <c r="R12" t="inlineStr">
        <is>
          <t>luigi.northgate@example.com</t>
        </is>
      </c>
      <c r="S12" t="n">
        <v>40</v>
      </c>
      <c r="T12" t="inlineStr">
        <is>
          <t>yes</t>
        </is>
      </c>
    </row>
    <row r="13">
      <c r="A13" s="9" t="inlineStr">
        <is>
          <t>Peter Sanderson</t>
        </is>
      </c>
      <c r="B13" s="10" t="n">
        <v>46016</v>
      </c>
      <c r="C13" s="10">
        <f>IF(B13="","",EDATE(B13,12*(DATEDIF(B13,TODAY(),"y")+1)))</f>
        <v/>
      </c>
      <c r="D13" s="11">
        <f>IF(AND(K13="",F13=""),"",IF(OR(AND(K13&lt;&gt;"",TODAY()-K13&gt;=14),AND(F13&lt;&gt;"",TODAY()-F13&gt;=21)),"Red",IF(OR(AND(K13&lt;&gt;"",TODAY()-K13&gt;=7),AND(C13&lt;&gt;"",C13-TODAY()&lt;=30)),"Yellow","Green")))</f>
        <v/>
      </c>
      <c r="E13" s="12">
        <f>IF(K13="","",TODAY()-K13)</f>
        <v/>
      </c>
      <c r="F13" s="10">
        <f>IFERROR(1/(1/MAXIFS(Touchpoints!$A:$A,Touchpoints!$B:$B,A13)),"")</f>
        <v/>
      </c>
      <c r="G13" s="11">
        <f>IF(F13="","",TODAY()-F13)</f>
        <v/>
      </c>
      <c r="H13" s="11" t="n"/>
      <c r="I13" s="11" t="n"/>
      <c r="J13" s="11" t="n"/>
      <c r="K13" s="17" t="n">
        <v>46139</v>
      </c>
      <c r="L13" s="0" t="inlineStr">
        <is>
          <t>M-0012</t>
        </is>
      </c>
      <c r="M13" s="0" t="inlineStr">
        <is>
          <t>none</t>
        </is>
      </c>
      <c r="R13" t="inlineStr">
        <is>
          <t>peter.sanderson@example.com</t>
        </is>
      </c>
      <c r="S13" t="n">
        <v>12</v>
      </c>
      <c r="T13" t="inlineStr">
        <is>
          <t>yes</t>
        </is>
      </c>
    </row>
    <row r="14">
      <c r="A14" s="9" t="inlineStr">
        <is>
          <t>Julius Yates</t>
        </is>
      </c>
      <c r="B14" s="10" t="n">
        <v>46018</v>
      </c>
      <c r="C14" s="10">
        <f>IF(B14="","",EDATE(B14,12*(DATEDIF(B14,TODAY(),"y")+1)))</f>
        <v/>
      </c>
      <c r="D14" s="11">
        <f>IF(AND(K14="",F14=""),"",IF(OR(AND(K14&lt;&gt;"",TODAY()-K14&gt;=14),AND(F14&lt;&gt;"",TODAY()-F14&gt;=21)),"Red",IF(OR(AND(K14&lt;&gt;"",TODAY()-K14&gt;=7),AND(C14&lt;&gt;"",C14-TODAY()&lt;=30)),"Yellow","Green")))</f>
        <v/>
      </c>
      <c r="E14" s="12">
        <f>IF(K14="","",TODAY()-K14)</f>
        <v/>
      </c>
      <c r="F14" s="10">
        <f>IFERROR(1/(1/MAXIFS(Touchpoints!$A:$A,Touchpoints!$B:$B,A14)),"")</f>
        <v/>
      </c>
      <c r="G14" s="11">
        <f>IF(F14="","",TODAY()-F14)</f>
        <v/>
      </c>
      <c r="H14" s="11" t="n"/>
      <c r="I14" s="11" t="n"/>
      <c r="J14" s="11" t="n"/>
      <c r="K14" s="17" t="n">
        <v>46311</v>
      </c>
      <c r="L14" s="0" t="inlineStr">
        <is>
          <t>M-0013</t>
        </is>
      </c>
      <c r="M14" s="0" t="inlineStr">
        <is>
          <t>none</t>
        </is>
      </c>
      <c r="R14" t="inlineStr">
        <is>
          <t>julius.yates@example.com</t>
        </is>
      </c>
      <c r="S14" t="n">
        <v>7</v>
      </c>
      <c r="T14" t="inlineStr">
        <is>
          <t>yes</t>
        </is>
      </c>
    </row>
    <row r="15">
      <c r="A15" s="9" t="inlineStr">
        <is>
          <t>Hamish Lindqvist</t>
        </is>
      </c>
      <c r="B15" s="10" t="n">
        <v>46033</v>
      </c>
      <c r="C15" s="10">
        <f>IF(B15="","",EDATE(B15,12*(DATEDIF(B15,TODAY(),"y")+1)))</f>
        <v/>
      </c>
      <c r="D15" s="11">
        <f>IF(AND(K15="",F15=""),"",IF(OR(AND(K15&lt;&gt;"",TODAY()-K15&gt;=14),AND(F15&lt;&gt;"",TODAY()-F15&gt;=21)),"Red",IF(OR(AND(K15&lt;&gt;"",TODAY()-K15&gt;=7),AND(C15&lt;&gt;"",C15-TODAY()&lt;=30)),"Yellow","Green")))</f>
        <v/>
      </c>
      <c r="E15" s="12">
        <f>IF(K15="","",TODAY()-K15)</f>
        <v/>
      </c>
      <c r="F15" s="10">
        <f>IFERROR(1/(1/MAXIFS(Touchpoints!$A:$A,Touchpoints!$B:$B,A15)),"")</f>
        <v/>
      </c>
      <c r="G15" s="11">
        <f>IF(F15="","",TODAY()-F15)</f>
        <v/>
      </c>
      <c r="H15" s="11" t="n"/>
      <c r="I15" s="11" t="n"/>
      <c r="J15" s="11" t="n"/>
      <c r="K15" s="17" t="n">
        <v>46240</v>
      </c>
      <c r="L15" s="0" t="inlineStr">
        <is>
          <t>M-0014</t>
        </is>
      </c>
      <c r="M15" s="0" t="inlineStr">
        <is>
          <t>none</t>
        </is>
      </c>
      <c r="R15" t="inlineStr">
        <is>
          <t>hamish.lindqvist@example.com</t>
        </is>
      </c>
      <c r="S15" t="n">
        <v>29</v>
      </c>
      <c r="T15" t="inlineStr">
        <is>
          <t>yes</t>
        </is>
      </c>
    </row>
    <row r="16" ht="15.75" customHeight="1" s="18">
      <c r="A16" s="9" t="inlineStr">
        <is>
          <t>Silas Quigley</t>
        </is>
      </c>
      <c r="B16" s="10" t="n">
        <v>46037</v>
      </c>
      <c r="C16" s="10">
        <f>IF(B16="","",EDATE(B16,12*(DATEDIF(B16,TODAY(),"y")+1)))</f>
        <v/>
      </c>
      <c r="D16" s="11">
        <f>IF(AND(K16="",F16=""),"",IF(OR(AND(K16&lt;&gt;"",TODAY()-K16&gt;=14),AND(F16&lt;&gt;"",TODAY()-F16&gt;=21)),"Red",IF(OR(AND(K16&lt;&gt;"",TODAY()-K16&gt;=7),AND(C16&lt;&gt;"",C16-TODAY()&lt;=30)),"Yellow","Green")))</f>
        <v/>
      </c>
      <c r="E16" s="12">
        <f>IF(K16="","",TODAY()-K16)</f>
        <v/>
      </c>
      <c r="F16" s="10">
        <f>IFERROR(1/(1/MAXIFS(Touchpoints!$A:$A,Touchpoints!$B:$B,A16)),"")</f>
        <v/>
      </c>
      <c r="G16" s="11">
        <f>IF(F16="","",TODAY()-F16)</f>
        <v/>
      </c>
      <c r="H16" s="11" t="n"/>
      <c r="I16" s="11" t="n"/>
      <c r="J16" s="11" t="n"/>
      <c r="K16" s="17" t="n">
        <v>46311</v>
      </c>
      <c r="L16" s="0" t="inlineStr">
        <is>
          <t>M-0015</t>
        </is>
      </c>
      <c r="M16" s="0" t="inlineStr">
        <is>
          <t>none</t>
        </is>
      </c>
      <c r="R16" t="inlineStr">
        <is>
          <t>silas.quigley@example.com</t>
        </is>
      </c>
      <c r="S16" t="n">
        <v>20</v>
      </c>
      <c r="T16" t="inlineStr">
        <is>
          <t>yes</t>
        </is>
      </c>
    </row>
    <row r="17" ht="15.75" customHeight="1" s="18">
      <c r="A17" s="9" t="inlineStr">
        <is>
          <t>Padraig Fairbanks</t>
        </is>
      </c>
      <c r="B17" s="10" t="n">
        <v>46037</v>
      </c>
      <c r="C17" s="10">
        <f>IF(B17="","",EDATE(B17,12*(DATEDIF(B17,TODAY(),"y")+1)))</f>
        <v/>
      </c>
      <c r="D17" s="11">
        <f>IF(AND(K17="",F17=""),"",IF(OR(AND(K17&lt;&gt;"",TODAY()-K17&gt;=14),AND(F17&lt;&gt;"",TODAY()-F17&gt;=21)),"Red",IF(OR(AND(K17&lt;&gt;"",TODAY()-K17&gt;=7),AND(C17&lt;&gt;"",C17-TODAY()&lt;=30)),"Yellow","Green")))</f>
        <v/>
      </c>
      <c r="E17" s="12">
        <f>IF(K17="","",TODAY()-K17)</f>
        <v/>
      </c>
      <c r="F17" s="10">
        <f>IFERROR(1/(1/MAXIFS(Touchpoints!$A:$A,Touchpoints!$B:$B,A17)),"")</f>
        <v/>
      </c>
      <c r="G17" s="11">
        <f>IF(F17="","",TODAY()-F17)</f>
        <v/>
      </c>
      <c r="H17" s="11" t="n"/>
      <c r="I17" s="11" t="n"/>
      <c r="J17" s="11" t="n"/>
      <c r="K17" s="17" t="n">
        <v>46311</v>
      </c>
      <c r="L17" s="0" t="inlineStr">
        <is>
          <t>M-0016</t>
        </is>
      </c>
      <c r="M17" s="0" t="inlineStr">
        <is>
          <t>none</t>
        </is>
      </c>
      <c r="R17" t="inlineStr">
        <is>
          <t>padraig.fairbanks@example.com</t>
        </is>
      </c>
      <c r="S17" t="n">
        <v>10</v>
      </c>
      <c r="T17" t="inlineStr">
        <is>
          <t>yes</t>
        </is>
      </c>
    </row>
    <row r="18" ht="15.75" customHeight="1" s="18">
      <c r="A18" s="9" t="inlineStr">
        <is>
          <t>Franklin Yarrow</t>
        </is>
      </c>
      <c r="B18" s="10" t="n">
        <v>46038</v>
      </c>
      <c r="C18" s="10">
        <f>IF(B18="","",EDATE(B18,12*(DATEDIF(B18,TODAY(),"y")+1)))</f>
        <v/>
      </c>
      <c r="D18" s="11">
        <f>IF(AND(K18="",F18=""),"",IF(OR(AND(K18&lt;&gt;"",TODAY()-K18&gt;=14),AND(F18&lt;&gt;"",TODAY()-F18&gt;=21)),"Red",IF(OR(AND(K18&lt;&gt;"",TODAY()-K18&gt;=7),AND(C18&lt;&gt;"",C18-TODAY()&lt;=30)),"Yellow","Green")))</f>
        <v/>
      </c>
      <c r="E18" s="12">
        <f>IF(K18="","",TODAY()-K18)</f>
        <v/>
      </c>
      <c r="F18" s="10">
        <f>IFERROR(1/(1/MAXIFS(Touchpoints!$A:$A,Touchpoints!$B:$B,A18)),"")</f>
        <v/>
      </c>
      <c r="G18" s="11">
        <f>IF(F18="","",TODAY()-F18)</f>
        <v/>
      </c>
      <c r="H18" s="11" t="inlineStr">
        <is>
          <t>finish the first draft of my book</t>
        </is>
      </c>
      <c r="I18" s="11" t="n"/>
      <c r="J18" s="11" t="n"/>
      <c r="K18" s="17" t="n">
        <v>46238</v>
      </c>
      <c r="L18" s="0" t="inlineStr">
        <is>
          <t>M-0017</t>
        </is>
      </c>
      <c r="M18" s="0" t="inlineStr">
        <is>
          <t>none</t>
        </is>
      </c>
      <c r="R18" t="inlineStr">
        <is>
          <t>franklin.yarrow@example.com</t>
        </is>
      </c>
      <c r="S18" t="n">
        <v>6</v>
      </c>
      <c r="T18" t="inlineStr">
        <is>
          <t>yes</t>
        </is>
      </c>
    </row>
    <row r="19" ht="15.75" customHeight="1" s="18">
      <c r="A19" s="9" t="inlineStr">
        <is>
          <t>Stanley Pomeroy</t>
        </is>
      </c>
      <c r="B19" s="10" t="n">
        <v>46038</v>
      </c>
      <c r="C19" s="10">
        <f>IF(B19="","",EDATE(B19,12*(DATEDIF(B19,TODAY(),"y")+1)))</f>
        <v/>
      </c>
      <c r="D19" s="11">
        <f>IF(AND(K19="",F19=""),"",IF(OR(AND(K19&lt;&gt;"",TODAY()-K19&gt;=14),AND(F19&lt;&gt;"",TODAY()-F19&gt;=21)),"Red",IF(OR(AND(K19&lt;&gt;"",TODAY()-K19&gt;=7),AND(C19&lt;&gt;"",C19-TODAY()&lt;=30)),"Yellow","Green")))</f>
        <v/>
      </c>
      <c r="E19" s="12">
        <f>IF(K19="","",TODAY()-K19)</f>
        <v/>
      </c>
      <c r="F19" s="10">
        <f>IFERROR(1/(1/MAXIFS(Touchpoints!$A:$A,Touchpoints!$B:$B,A19)),"")</f>
        <v/>
      </c>
      <c r="G19" s="11">
        <f>IF(F19="","",TODAY()-F19)</f>
        <v/>
      </c>
      <c r="H19" s="11" t="n"/>
      <c r="I19" s="11" t="n"/>
      <c r="J19" s="11" t="n"/>
      <c r="K19" s="17" t="n">
        <v>46290</v>
      </c>
      <c r="L19" s="0" t="inlineStr">
        <is>
          <t>M-0018</t>
        </is>
      </c>
      <c r="M19" s="0" t="inlineStr">
        <is>
          <t>none</t>
        </is>
      </c>
      <c r="R19" t="inlineStr">
        <is>
          <t>stanley.pomeroy@example.com</t>
        </is>
      </c>
      <c r="S19" t="n">
        <v>35</v>
      </c>
      <c r="T19" t="inlineStr">
        <is>
          <t>yes</t>
        </is>
      </c>
    </row>
    <row r="20" ht="15.75" customHeight="1" s="18">
      <c r="A20" s="9" t="inlineStr">
        <is>
          <t>Caleb Ashford</t>
        </is>
      </c>
      <c r="B20" s="10" t="n">
        <v>46038</v>
      </c>
      <c r="C20" s="10">
        <f>IF(B20="","",EDATE(B20,12*(DATEDIF(B20,TODAY(),"y")+1)))</f>
        <v/>
      </c>
      <c r="D20" s="11">
        <f>IF(AND(K20="",F20=""),"",IF(OR(AND(K20&lt;&gt;"",TODAY()-K20&gt;=14),AND(F20&lt;&gt;"",TODAY()-F20&gt;=21)),"Red",IF(OR(AND(K20&lt;&gt;"",TODAY()-K20&gt;=7),AND(C20&lt;&gt;"",C20-TODAY()&lt;=30)),"Yellow","Green")))</f>
        <v/>
      </c>
      <c r="E20" s="12">
        <f>IF(K20="","",TODAY()-K20)</f>
        <v/>
      </c>
      <c r="F20" s="10">
        <f>IFERROR(1/(1/MAXIFS(Touchpoints!$A:$A,Touchpoints!$B:$B,A20)),"")</f>
        <v/>
      </c>
      <c r="G20" s="11">
        <f>IF(F20="","",TODAY()-F20)</f>
        <v/>
      </c>
      <c r="H20" s="11" t="n"/>
      <c r="I20" s="11" t="n"/>
      <c r="J20" s="11" t="n"/>
      <c r="K20" s="17" t="n">
        <v>46271</v>
      </c>
      <c r="L20" s="0" t="inlineStr">
        <is>
          <t>M-0019</t>
        </is>
      </c>
      <c r="M20" s="0" t="inlineStr">
        <is>
          <t>none</t>
        </is>
      </c>
      <c r="R20" t="inlineStr">
        <is>
          <t>caleb.ashford@example.com</t>
        </is>
      </c>
      <c r="S20" t="n">
        <v>3</v>
      </c>
      <c r="T20" t="inlineStr">
        <is>
          <t>yes</t>
        </is>
      </c>
    </row>
    <row r="21" ht="15.75" customHeight="1" s="18">
      <c r="A21" s="9" t="inlineStr">
        <is>
          <t>Derek Larimore</t>
        </is>
      </c>
      <c r="B21" s="10" t="n">
        <v>46039</v>
      </c>
      <c r="C21" s="10">
        <f>IF(B21="","",EDATE(B21,12*(DATEDIF(B21,TODAY(),"y")+1)))</f>
        <v/>
      </c>
      <c r="D21" s="11">
        <f>IF(AND(K21="",F21=""),"",IF(OR(AND(K21&lt;&gt;"",TODAY()-K21&gt;=14),AND(F21&lt;&gt;"",TODAY()-F21&gt;=21)),"Red",IF(OR(AND(K21&lt;&gt;"",TODAY()-K21&gt;=7),AND(C21&lt;&gt;"",C21-TODAY()&lt;=30)),"Yellow","Green")))</f>
        <v/>
      </c>
      <c r="E21" s="12">
        <f>IF(K21="","",TODAY()-K21)</f>
        <v/>
      </c>
      <c r="F21" s="10">
        <f>IFERROR(1/(1/MAXIFS(Touchpoints!$A:$A,Touchpoints!$B:$B,A21)),"")</f>
        <v/>
      </c>
      <c r="G21" s="11">
        <f>IF(F21="","",TODAY()-F21)</f>
        <v/>
      </c>
      <c r="H21" s="11" t="n"/>
      <c r="I21" s="11" t="n"/>
      <c r="J21" s="11" t="n"/>
      <c r="K21" s="17" t="n">
        <v>46263</v>
      </c>
      <c r="L21" s="0" t="inlineStr">
        <is>
          <t>M-0020</t>
        </is>
      </c>
      <c r="M21" s="0" t="inlineStr">
        <is>
          <t>none</t>
        </is>
      </c>
      <c r="R21" t="inlineStr">
        <is>
          <t>derek.larimore@example.com</t>
        </is>
      </c>
      <c r="S21" t="n">
        <v>39</v>
      </c>
      <c r="T21" t="inlineStr">
        <is>
          <t>yes</t>
        </is>
      </c>
    </row>
    <row r="22" ht="15.75" customHeight="1" s="18">
      <c r="A22" s="9" t="inlineStr">
        <is>
          <t>Enzo Ingram</t>
        </is>
      </c>
      <c r="B22" s="10" t="n">
        <v>46039</v>
      </c>
      <c r="C22" s="10">
        <f>IF(B22="","",EDATE(B22,12*(DATEDIF(B22,TODAY(),"y")+1)))</f>
        <v/>
      </c>
      <c r="D22" s="11">
        <f>IF(AND(K22="",F22=""),"",IF(OR(AND(K22&lt;&gt;"",TODAY()-K22&gt;=14),AND(F22&lt;&gt;"",TODAY()-F22&gt;=21)),"Red",IF(OR(AND(K22&lt;&gt;"",TODAY()-K22&gt;=7),AND(C22&lt;&gt;"",C22-TODAY()&lt;=30)),"Yellow","Green")))</f>
        <v/>
      </c>
      <c r="E22" s="12">
        <f>IF(K22="","",TODAY()-K22)</f>
        <v/>
      </c>
      <c r="F22" s="10">
        <f>IFERROR(1/(1/MAXIFS(Touchpoints!$A:$A,Touchpoints!$B:$B,A22)),"")</f>
        <v/>
      </c>
      <c r="G22" s="11">
        <f>IF(F22="","",TODAY()-F22)</f>
        <v/>
      </c>
      <c r="H22" s="11" t="n"/>
      <c r="I22" s="11" t="n"/>
      <c r="J22" s="11" t="n"/>
      <c r="K22" s="17" t="n">
        <v>46085</v>
      </c>
      <c r="L22" s="0" t="inlineStr">
        <is>
          <t>M-0021</t>
        </is>
      </c>
      <c r="M22" s="0" t="inlineStr">
        <is>
          <t>none</t>
        </is>
      </c>
      <c r="R22" t="inlineStr">
        <is>
          <t>enzo.ingram@example.com</t>
        </is>
      </c>
      <c r="S22" t="n">
        <v>26</v>
      </c>
      <c r="T22" t="inlineStr">
        <is>
          <t>yes</t>
        </is>
      </c>
    </row>
    <row r="23" ht="15.75" customHeight="1" s="18">
      <c r="A23" s="9" t="inlineStr">
        <is>
          <t>Andrei Upton</t>
        </is>
      </c>
      <c r="B23" s="10" t="n">
        <v>46040</v>
      </c>
      <c r="C23" s="10">
        <f>IF(B23="","",EDATE(B23,12*(DATEDIF(B23,TODAY(),"y")+1)))</f>
        <v/>
      </c>
      <c r="D23" s="11">
        <f>IF(AND(K23="",F23=""),"",IF(OR(AND(K23&lt;&gt;"",TODAY()-K23&gt;=14),AND(F23&lt;&gt;"",TODAY()-F23&gt;=21)),"Red",IF(OR(AND(K23&lt;&gt;"",TODAY()-K23&gt;=7),AND(C23&lt;&gt;"",C23-TODAY()&lt;=30)),"Yellow","Green")))</f>
        <v/>
      </c>
      <c r="E23" s="12">
        <f>IF(K23="","",TODAY()-K23)</f>
        <v/>
      </c>
      <c r="F23" s="10">
        <f>IFERROR(1/(1/MAXIFS(Touchpoints!$A:$A,Touchpoints!$B:$B,A23)),"")</f>
        <v/>
      </c>
      <c r="G23" s="11">
        <f>IF(F23="","",TODAY()-F23)</f>
        <v/>
      </c>
      <c r="H23" s="11" t="n"/>
      <c r="I23" s="11" t="n"/>
      <c r="J23" s="11" t="n"/>
      <c r="K23" s="17" t="n">
        <v>46278</v>
      </c>
      <c r="L23" s="0" t="inlineStr">
        <is>
          <t>M-0022</t>
        </is>
      </c>
      <c r="M23" s="0" t="inlineStr">
        <is>
          <t>none</t>
        </is>
      </c>
      <c r="R23" t="inlineStr">
        <is>
          <t>andrei.upton@example.com</t>
        </is>
      </c>
      <c r="S23" t="n">
        <v>29</v>
      </c>
      <c r="T23" t="inlineStr">
        <is>
          <t>yes</t>
        </is>
      </c>
    </row>
    <row r="24" ht="15.75" customHeight="1" s="18">
      <c r="A24" s="9" t="inlineStr">
        <is>
          <t>Anders Zeigler</t>
        </is>
      </c>
      <c r="B24" s="10" t="n">
        <v>46042</v>
      </c>
      <c r="C24" s="10">
        <f>IF(B24="","",EDATE(B24,12*(DATEDIF(B24,TODAY(),"y")+1)))</f>
        <v/>
      </c>
      <c r="D24" s="11">
        <f>IF(AND(K24="",F24=""),"",IF(OR(AND(K24&lt;&gt;"",TODAY()-K24&gt;=14),AND(F24&lt;&gt;"",TODAY()-F24&gt;=21)),"Red",IF(OR(AND(K24&lt;&gt;"",TODAY()-K24&gt;=7),AND(C24&lt;&gt;"",C24-TODAY()&lt;=30)),"Yellow","Green")))</f>
        <v/>
      </c>
      <c r="E24" s="12">
        <f>IF(K24="","",TODAY()-K24)</f>
        <v/>
      </c>
      <c r="F24" s="10">
        <f>IFERROR(1/(1/MAXIFS(Touchpoints!$A:$A,Touchpoints!$B:$B,A24)),"")</f>
        <v/>
      </c>
      <c r="G24" s="11">
        <f>IF(F24="","",TODAY()-F24)</f>
        <v/>
      </c>
      <c r="H24" s="11" t="n"/>
      <c r="I24" s="11" t="n"/>
      <c r="J24" s="11" t="n"/>
      <c r="K24" s="17" t="n">
        <v>46206</v>
      </c>
      <c r="L24" s="0" t="inlineStr">
        <is>
          <t>M-0023</t>
        </is>
      </c>
      <c r="M24" s="0" t="inlineStr">
        <is>
          <t>none</t>
        </is>
      </c>
      <c r="R24" t="inlineStr">
        <is>
          <t>anders.zeigler@example.com</t>
        </is>
      </c>
      <c r="S24" t="n">
        <v>40</v>
      </c>
      <c r="T24" t="inlineStr">
        <is>
          <t>yes</t>
        </is>
      </c>
    </row>
    <row r="25" ht="15.75" customHeight="1" s="18">
      <c r="A25" s="9" t="inlineStr">
        <is>
          <t>Duncan Jamison</t>
        </is>
      </c>
      <c r="B25" s="10" t="n">
        <v>46044</v>
      </c>
      <c r="C25" s="10">
        <f>IF(B25="","",EDATE(B25,12*(DATEDIF(B25,TODAY(),"y")+1)))</f>
        <v/>
      </c>
      <c r="D25" s="11">
        <f>IF(AND(K25="",F25=""),"",IF(OR(AND(K25&lt;&gt;"",TODAY()-K25&gt;=14),AND(F25&lt;&gt;"",TODAY()-F25&gt;=21)),"Red",IF(OR(AND(K25&lt;&gt;"",TODAY()-K25&gt;=7),AND(C25&lt;&gt;"",C25-TODAY()&lt;=30)),"Yellow","Green")))</f>
        <v/>
      </c>
      <c r="E25" s="12">
        <f>IF(K25="","",TODAY()-K25)</f>
        <v/>
      </c>
      <c r="F25" s="10">
        <f>IFERROR(1/(1/MAXIFS(Touchpoints!$A:$A,Touchpoints!$B:$B,A25)),"")</f>
        <v/>
      </c>
      <c r="G25" s="11">
        <f>IF(F25="","",TODAY()-F25)</f>
        <v/>
      </c>
      <c r="H25" s="11" t="inlineStr">
        <is>
          <t>launch my coaching offer by December</t>
        </is>
      </c>
      <c r="I25" s="11" t="n"/>
      <c r="J25" s="11" t="n"/>
      <c r="K25" s="17" t="n">
        <v>46244</v>
      </c>
      <c r="L25" s="0" t="inlineStr">
        <is>
          <t>M-0024</t>
        </is>
      </c>
      <c r="M25" s="0" t="inlineStr">
        <is>
          <t>none</t>
        </is>
      </c>
      <c r="R25" t="inlineStr">
        <is>
          <t>duncan.jamison@example.com</t>
        </is>
      </c>
      <c r="S25" t="n">
        <v>11</v>
      </c>
      <c r="T25" t="inlineStr">
        <is>
          <t>yes</t>
        </is>
      </c>
    </row>
    <row r="26" ht="15.75" customHeight="1" s="18">
      <c r="A26" s="9" t="inlineStr">
        <is>
          <t>Karl Rowntree</t>
        </is>
      </c>
      <c r="B26" s="10" t="n">
        <v>46045</v>
      </c>
      <c r="C26" s="10">
        <f>IF(B26="","",EDATE(B26,12*(DATEDIF(B26,TODAY(),"y")+1)))</f>
        <v/>
      </c>
      <c r="D26" s="11">
        <f>IF(AND(K26="",F26=""),"",IF(OR(AND(K26&lt;&gt;"",TODAY()-K26&gt;=14),AND(F26&lt;&gt;"",TODAY()-F26&gt;=21)),"Red",IF(OR(AND(K26&lt;&gt;"",TODAY()-K26&gt;=7),AND(C26&lt;&gt;"",C26-TODAY()&lt;=30)),"Yellow","Green")))</f>
        <v/>
      </c>
      <c r="E26" s="12">
        <f>IF(K26="","",TODAY()-K26)</f>
        <v/>
      </c>
      <c r="F26" s="10">
        <f>IFERROR(1/(1/MAXIFS(Touchpoints!$A:$A,Touchpoints!$B:$B,A26)),"")</f>
        <v/>
      </c>
      <c r="G26" s="11">
        <f>IF(F26="","",TODAY()-F26)</f>
        <v/>
      </c>
      <c r="H26" s="11" t="n"/>
      <c r="I26" s="11" t="n"/>
      <c r="J26" s="11" t="n"/>
      <c r="K26" s="17" t="n">
        <v>46307</v>
      </c>
      <c r="L26" s="0" t="inlineStr">
        <is>
          <t>M-0025</t>
        </is>
      </c>
      <c r="M26" s="0" t="inlineStr">
        <is>
          <t>none</t>
        </is>
      </c>
      <c r="R26" t="inlineStr">
        <is>
          <t>karl.rowntree@example.com</t>
        </is>
      </c>
      <c r="S26" t="n">
        <v>40</v>
      </c>
      <c r="T26" t="inlineStr">
        <is>
          <t>yes</t>
        </is>
      </c>
    </row>
    <row r="27" ht="15.75" customHeight="1" s="18">
      <c r="A27" s="9" t="inlineStr">
        <is>
          <t>Micah Yardley</t>
        </is>
      </c>
      <c r="B27" s="10" t="n">
        <v>46046</v>
      </c>
      <c r="C27" s="10">
        <f>IF(B27="","",EDATE(B27,12*(DATEDIF(B27,TODAY(),"y")+1)))</f>
        <v/>
      </c>
      <c r="D27" s="11">
        <f>IF(AND(K27="",F27=""),"",IF(OR(AND(K27&lt;&gt;"",TODAY()-K27&gt;=14),AND(F27&lt;&gt;"",TODAY()-F27&gt;=21)),"Red",IF(OR(AND(K27&lt;&gt;"",TODAY()-K27&gt;=7),AND(C27&lt;&gt;"",C27-TODAY()&lt;=30)),"Yellow","Green")))</f>
        <v/>
      </c>
      <c r="E27" s="12">
        <f>IF(K27="","",TODAY()-K27)</f>
        <v/>
      </c>
      <c r="F27" s="10">
        <f>IFERROR(1/(1/MAXIFS(Touchpoints!$A:$A,Touchpoints!$B:$B,A27)),"")</f>
        <v/>
      </c>
      <c r="G27" s="11">
        <f>IF(F27="","",TODAY()-F27)</f>
        <v/>
      </c>
      <c r="H27" s="11" t="n"/>
      <c r="I27" s="11" t="n"/>
      <c r="J27" s="11" t="n"/>
      <c r="K27" s="17" t="n">
        <v>46311</v>
      </c>
      <c r="L27" s="0" t="inlineStr">
        <is>
          <t>M-0026</t>
        </is>
      </c>
      <c r="M27" s="0" t="inlineStr">
        <is>
          <t>none</t>
        </is>
      </c>
      <c r="R27" t="inlineStr">
        <is>
          <t>micah.yardley@example.com</t>
        </is>
      </c>
      <c r="S27" t="n">
        <v>1</v>
      </c>
      <c r="T27" t="inlineStr">
        <is>
          <t>yes</t>
        </is>
      </c>
    </row>
    <row r="28" ht="15.75" customHeight="1" s="18">
      <c r="A28" s="9" t="inlineStr">
        <is>
          <t>Rafael Huxley</t>
        </is>
      </c>
      <c r="B28" s="10" t="n">
        <v>46048</v>
      </c>
      <c r="C28" s="10">
        <f>IF(B28="","",EDATE(B28,12*(DATEDIF(B28,TODAY(),"y")+1)))</f>
        <v/>
      </c>
      <c r="D28" s="11">
        <f>IF(AND(K28="",F28=""),"",IF(OR(AND(K28&lt;&gt;"",TODAY()-K28&gt;=14),AND(F28&lt;&gt;"",TODAY()-F28&gt;=21)),"Red",IF(OR(AND(K28&lt;&gt;"",TODAY()-K28&gt;=7),AND(C28&lt;&gt;"",C28-TODAY()&lt;=30)),"Yellow","Green")))</f>
        <v/>
      </c>
      <c r="E28" s="12">
        <f>IF(K28="","",TODAY()-K28)</f>
        <v/>
      </c>
      <c r="F28" s="10">
        <f>IFERROR(1/(1/MAXIFS(Touchpoints!$A:$A,Touchpoints!$B:$B,A28)),"")</f>
        <v/>
      </c>
      <c r="G28" s="11">
        <f>IF(F28="","",TODAY()-F28)</f>
        <v/>
      </c>
      <c r="H28" s="11" t="n"/>
      <c r="I28" s="11" t="n"/>
      <c r="J28" s="11" t="n"/>
      <c r="K28" s="17" t="n">
        <v>46309</v>
      </c>
      <c r="L28" s="0" t="inlineStr">
        <is>
          <t>M-0027</t>
        </is>
      </c>
      <c r="M28" s="0" t="inlineStr">
        <is>
          <t>none</t>
        </is>
      </c>
      <c r="R28" t="inlineStr">
        <is>
          <t>rafael.huxley@example.com</t>
        </is>
      </c>
      <c r="S28" t="n">
        <v>34</v>
      </c>
      <c r="T28" t="inlineStr">
        <is>
          <t>yes</t>
        </is>
      </c>
    </row>
    <row r="29" ht="15.75" customHeight="1" s="18">
      <c r="A29" s="9" t="inlineStr">
        <is>
          <t>Xavier Jernigan</t>
        </is>
      </c>
      <c r="B29" s="10" t="n">
        <v>46050</v>
      </c>
      <c r="C29" s="10">
        <f>IF(B29="","",EDATE(B29,12*(DATEDIF(B29,TODAY(),"y")+1)))</f>
        <v/>
      </c>
      <c r="D29" s="11">
        <f>IF(AND(K29="",F29=""),"",IF(OR(AND(K29&lt;&gt;"",TODAY()-K29&gt;=14),AND(F29&lt;&gt;"",TODAY()-F29&gt;=21)),"Red",IF(OR(AND(K29&lt;&gt;"",TODAY()-K29&gt;=7),AND(C29&lt;&gt;"",C29-TODAY()&lt;=30)),"Yellow","Green")))</f>
        <v/>
      </c>
      <c r="E29" s="12">
        <f>IF(K29="","",TODAY()-K29)</f>
        <v/>
      </c>
      <c r="F29" s="10">
        <f>IFERROR(1/(1/MAXIFS(Touchpoints!$A:$A,Touchpoints!$B:$B,A29)),"")</f>
        <v/>
      </c>
      <c r="G29" s="11">
        <f>IF(F29="","",TODAY()-F29)</f>
        <v/>
      </c>
      <c r="H29" s="11" t="n"/>
      <c r="I29" s="11" t="n"/>
      <c r="J29" s="11" t="n"/>
      <c r="K29" s="17" t="n">
        <v>46302</v>
      </c>
      <c r="L29" s="0" t="inlineStr">
        <is>
          <t>M-0028</t>
        </is>
      </c>
      <c r="M29" s="0" t="inlineStr">
        <is>
          <t>none</t>
        </is>
      </c>
      <c r="R29" t="inlineStr">
        <is>
          <t>xavier.jernigan@example.com</t>
        </is>
      </c>
      <c r="S29" t="n">
        <v>5</v>
      </c>
      <c r="T29" t="inlineStr">
        <is>
          <t>yes</t>
        </is>
      </c>
    </row>
    <row r="30" ht="15.75" customHeight="1" s="18">
      <c r="A30" s="9" t="inlineStr">
        <is>
          <t>Luigi Winslow</t>
        </is>
      </c>
      <c r="B30" s="10" t="n">
        <v>46057</v>
      </c>
      <c r="C30" s="10">
        <f>IF(B30="","",EDATE(B30,12*(DATEDIF(B30,TODAY(),"y")+1)))</f>
        <v/>
      </c>
      <c r="D30" s="11">
        <f>IF(AND(K30="",F30=""),"",IF(OR(AND(K30&lt;&gt;"",TODAY()-K30&gt;=14),AND(F30&lt;&gt;"",TODAY()-F30&gt;=21)),"Red",IF(OR(AND(K30&lt;&gt;"",TODAY()-K30&gt;=7),AND(C30&lt;&gt;"",C30-TODAY()&lt;=30)),"Yellow","Green")))</f>
        <v/>
      </c>
      <c r="E30" s="12">
        <f>IF(K30="","",TODAY()-K30)</f>
        <v/>
      </c>
      <c r="F30" s="10">
        <f>IFERROR(1/(1/MAXIFS(Touchpoints!$A:$A,Touchpoints!$B:$B,A30)),"")</f>
        <v/>
      </c>
      <c r="G30" s="11">
        <f>IF(F30="","",TODAY()-F30)</f>
        <v/>
      </c>
      <c r="H30" s="11" t="n"/>
      <c r="I30" s="11" t="n"/>
      <c r="J30" s="11" t="n"/>
      <c r="K30" s="17" t="n">
        <v>46295</v>
      </c>
      <c r="L30" s="0" t="inlineStr">
        <is>
          <t>M-0029</t>
        </is>
      </c>
      <c r="M30" s="0" t="inlineStr">
        <is>
          <t>none</t>
        </is>
      </c>
      <c r="R30" t="inlineStr">
        <is>
          <t>luigi.winslow@example.com</t>
        </is>
      </c>
      <c r="S30" t="n">
        <v>4</v>
      </c>
      <c r="T30" t="inlineStr">
        <is>
          <t>yes</t>
        </is>
      </c>
    </row>
    <row r="31" ht="15.75" customHeight="1" s="18">
      <c r="A31" s="9" t="inlineStr">
        <is>
          <t>Rowan Ridgeway</t>
        </is>
      </c>
      <c r="B31" s="10" t="n">
        <v>46058</v>
      </c>
      <c r="C31" s="10">
        <f>IF(B31="","",EDATE(B31,12*(DATEDIF(B31,TODAY(),"y")+1)))</f>
        <v/>
      </c>
      <c r="D31" s="11">
        <f>IF(AND(K31="",F31=""),"",IF(OR(AND(K31&lt;&gt;"",TODAY()-K31&gt;=14),AND(F31&lt;&gt;"",TODAY()-F31&gt;=21)),"Red",IF(OR(AND(K31&lt;&gt;"",TODAY()-K31&gt;=7),AND(C31&lt;&gt;"",C31-TODAY()&lt;=30)),"Yellow","Green")))</f>
        <v/>
      </c>
      <c r="E31" s="12">
        <f>IF(K31="","",TODAY()-K31)</f>
        <v/>
      </c>
      <c r="F31" s="10">
        <f>IFERROR(1/(1/MAXIFS(Touchpoints!$A:$A,Touchpoints!$B:$B,A31)),"")</f>
        <v/>
      </c>
      <c r="G31" s="11">
        <f>IF(F31="","",TODAY()-F31)</f>
        <v/>
      </c>
      <c r="H31" s="11" t="n"/>
      <c r="I31" s="11" t="n"/>
      <c r="J31" s="11" t="n"/>
      <c r="K31" s="17" t="n">
        <v>46266</v>
      </c>
      <c r="L31" s="0" t="inlineStr">
        <is>
          <t>M-0030</t>
        </is>
      </c>
      <c r="M31" s="0" t="inlineStr">
        <is>
          <t>none</t>
        </is>
      </c>
      <c r="R31" t="inlineStr">
        <is>
          <t>rowan.ridgeway@example.com</t>
        </is>
      </c>
      <c r="S31" t="n">
        <v>3</v>
      </c>
      <c r="T31" t="inlineStr">
        <is>
          <t>yes</t>
        </is>
      </c>
    </row>
    <row r="32" ht="15.75" customHeight="1" s="18">
      <c r="A32" s="9" t="inlineStr">
        <is>
          <t>Silas Ingram</t>
        </is>
      </c>
      <c r="B32" s="10" t="n">
        <v>46059</v>
      </c>
      <c r="C32" s="10">
        <f>IF(B32="","",EDATE(B32,12*(DATEDIF(B32,TODAY(),"y")+1)))</f>
        <v/>
      </c>
      <c r="D32" s="11">
        <f>IF(AND(K32="",F32=""),"",IF(OR(AND(K32&lt;&gt;"",TODAY()-K32&gt;=14),AND(F32&lt;&gt;"",TODAY()-F32&gt;=21)),"Red",IF(OR(AND(K32&lt;&gt;"",TODAY()-K32&gt;=7),AND(C32&lt;&gt;"",C32-TODAY()&lt;=30)),"Yellow","Green")))</f>
        <v/>
      </c>
      <c r="E32" s="12">
        <f>IF(K32="","",TODAY()-K32)</f>
        <v/>
      </c>
      <c r="F32" s="10">
        <f>IFERROR(1/(1/MAXIFS(Touchpoints!$A:$A,Touchpoints!$B:$B,A32)),"")</f>
        <v/>
      </c>
      <c r="G32" s="11">
        <f>IF(F32="","",TODAY()-F32)</f>
        <v/>
      </c>
      <c r="H32" s="11" t="n"/>
      <c r="I32" s="11" t="n"/>
      <c r="J32" s="11" t="n"/>
      <c r="K32" s="17" t="n">
        <v>46311</v>
      </c>
      <c r="L32" s="0" t="inlineStr">
        <is>
          <t>M-0031</t>
        </is>
      </c>
      <c r="M32" s="0" t="inlineStr">
        <is>
          <t>none</t>
        </is>
      </c>
      <c r="R32" t="inlineStr">
        <is>
          <t>silas.ingram@example.com</t>
        </is>
      </c>
      <c r="S32" t="n">
        <v>13</v>
      </c>
      <c r="T32" t="inlineStr">
        <is>
          <t>yes</t>
        </is>
      </c>
    </row>
    <row r="33" ht="15.75" customHeight="1" s="18">
      <c r="A33" s="9" t="inlineStr">
        <is>
          <t>Lars Glendower</t>
        </is>
      </c>
      <c r="B33" s="10" t="n">
        <v>45697</v>
      </c>
      <c r="C33" s="10">
        <f>IF(B33="","",EDATE(B33,12*(DATEDIF(B33,TODAY(),"y")+1)))</f>
        <v/>
      </c>
      <c r="D33" s="11">
        <f>IF(AND(K33="",F33=""),"",IF(OR(AND(K33&lt;&gt;"",TODAY()-K33&gt;=14),AND(F33&lt;&gt;"",TODAY()-F33&gt;=21)),"Red",IF(OR(AND(K33&lt;&gt;"",TODAY()-K33&gt;=7),AND(C33&lt;&gt;"",C33-TODAY()&lt;=30)),"Yellow","Green")))</f>
        <v/>
      </c>
      <c r="E33" s="12">
        <f>IF(K33="","",TODAY()-K33)</f>
        <v/>
      </c>
      <c r="F33" s="10">
        <f>IFERROR(1/(1/MAXIFS(Touchpoints!$A:$A,Touchpoints!$B:$B,A33)),"")</f>
        <v/>
      </c>
      <c r="G33" s="11">
        <f>IF(F33="","",TODAY()-F33)</f>
        <v/>
      </c>
      <c r="H33" s="11" t="n"/>
      <c r="I33" s="11" t="n"/>
      <c r="J33" s="11" t="n"/>
      <c r="K33" s="17" t="n">
        <v>46161</v>
      </c>
      <c r="L33" s="0" t="inlineStr">
        <is>
          <t>M-0032</t>
        </is>
      </c>
      <c r="M33" s="0" t="inlineStr">
        <is>
          <t>none</t>
        </is>
      </c>
      <c r="R33" t="inlineStr">
        <is>
          <t>lars.glendower@example.com</t>
        </is>
      </c>
      <c r="S33" t="n">
        <v>16</v>
      </c>
      <c r="T33" t="inlineStr">
        <is>
          <t>yes</t>
        </is>
      </c>
    </row>
    <row r="34" ht="15.75" customHeight="1" s="18">
      <c r="A34" s="9" t="inlineStr">
        <is>
          <t>Terrence Lachlan</t>
        </is>
      </c>
      <c r="B34" s="10" t="n">
        <v>46064</v>
      </c>
      <c r="C34" s="10">
        <f>IF(B34="","",EDATE(B34,12*(DATEDIF(B34,TODAY(),"y")+1)))</f>
        <v/>
      </c>
      <c r="D34" s="11">
        <f>IF(AND(K34="",F34=""),"",IF(OR(AND(K34&lt;&gt;"",TODAY()-K34&gt;=14),AND(F34&lt;&gt;"",TODAY()-F34&gt;=21)),"Red",IF(OR(AND(K34&lt;&gt;"",TODAY()-K34&gt;=7),AND(C34&lt;&gt;"",C34-TODAY()&lt;=30)),"Yellow","Green")))</f>
        <v/>
      </c>
      <c r="E34" s="12">
        <f>IF(K34="","",TODAY()-K34)</f>
        <v/>
      </c>
      <c r="F34" s="10">
        <f>IFERROR(1/(1/MAXIFS(Touchpoints!$A:$A,Touchpoints!$B:$B,A34)),"")</f>
        <v/>
      </c>
      <c r="G34" s="11">
        <f>IF(F34="","",TODAY()-F34)</f>
        <v/>
      </c>
      <c r="H34" s="11" t="n"/>
      <c r="I34" s="11" t="n"/>
      <c r="J34" s="11" t="inlineStr">
        <is>
          <t>Moderator</t>
        </is>
      </c>
      <c r="K34" s="17" t="n">
        <v>46307</v>
      </c>
      <c r="L34" s="0" t="inlineStr">
        <is>
          <t>M-0033</t>
        </is>
      </c>
      <c r="M34" s="0" t="inlineStr">
        <is>
          <t>none</t>
        </is>
      </c>
      <c r="R34" t="inlineStr">
        <is>
          <t>terrence.lachlan@example.com</t>
        </is>
      </c>
      <c r="S34" t="n">
        <v>39</v>
      </c>
      <c r="T34" t="inlineStr">
        <is>
          <t>yes</t>
        </is>
      </c>
    </row>
    <row r="35" ht="15.75" customHeight="1" s="18">
      <c r="A35" s="9" t="inlineStr">
        <is>
          <t>Ivan Montgomery</t>
        </is>
      </c>
      <c r="B35" s="10" t="n">
        <v>46065</v>
      </c>
      <c r="C35" s="10">
        <f>IF(B35="","",EDATE(B35,12*(DATEDIF(B35,TODAY(),"y")+1)))</f>
        <v/>
      </c>
      <c r="D35" s="11">
        <f>IF(AND(K35="",F35=""),"",IF(OR(AND(K35&lt;&gt;"",TODAY()-K35&gt;=14),AND(F35&lt;&gt;"",TODAY()-F35&gt;=21)),"Red",IF(OR(AND(K35&lt;&gt;"",TODAY()-K35&gt;=7),AND(C35&lt;&gt;"",C35-TODAY()&lt;=30)),"Yellow","Green")))</f>
        <v/>
      </c>
      <c r="E35" s="12">
        <f>IF(K35="","",TODAY()-K35)</f>
        <v/>
      </c>
      <c r="F35" s="10">
        <f>IFERROR(1/(1/MAXIFS(Touchpoints!$A:$A,Touchpoints!$B:$B,A35)),"")</f>
        <v/>
      </c>
      <c r="G35" s="11">
        <f>IF(F35="","",TODAY()-F35)</f>
        <v/>
      </c>
      <c r="H35" s="11" t="n"/>
      <c r="I35" s="11" t="n"/>
      <c r="J35" s="11" t="n"/>
      <c r="K35" s="17" t="n">
        <v>46308</v>
      </c>
      <c r="L35" s="0" t="inlineStr">
        <is>
          <t>M-0034</t>
        </is>
      </c>
      <c r="M35" s="0" t="inlineStr">
        <is>
          <t>none</t>
        </is>
      </c>
      <c r="R35" t="inlineStr">
        <is>
          <t>ivan.montgomery@example.com</t>
        </is>
      </c>
      <c r="S35" t="n">
        <v>2</v>
      </c>
      <c r="T35" t="inlineStr">
        <is>
          <t>yes</t>
        </is>
      </c>
    </row>
    <row r="36" ht="15.75" customHeight="1" s="18">
      <c r="A36" s="9" t="inlineStr">
        <is>
          <t>Xavier Ashford</t>
        </is>
      </c>
      <c r="B36" s="10" t="n">
        <v>46069</v>
      </c>
      <c r="C36" s="10">
        <f>IF(B36="","",EDATE(B36,12*(DATEDIF(B36,TODAY(),"y")+1)))</f>
        <v/>
      </c>
      <c r="D36" s="11">
        <f>IF(AND(K36="",F36=""),"",IF(OR(AND(K36&lt;&gt;"",TODAY()-K36&gt;=14),AND(F36&lt;&gt;"",TODAY()-F36&gt;=21)),"Red",IF(OR(AND(K36&lt;&gt;"",TODAY()-K36&gt;=7),AND(C36&lt;&gt;"",C36-TODAY()&lt;=30)),"Yellow","Green")))</f>
        <v/>
      </c>
      <c r="E36" s="12">
        <f>IF(K36="","",TODAY()-K36)</f>
        <v/>
      </c>
      <c r="F36" s="10">
        <f>IFERROR(1/(1/MAXIFS(Touchpoints!$A:$A,Touchpoints!$B:$B,A36)),"")</f>
        <v/>
      </c>
      <c r="G36" s="11">
        <f>IF(F36="","",TODAY()-F36)</f>
        <v/>
      </c>
      <c r="H36" s="11" t="n"/>
      <c r="I36" s="11" t="n"/>
      <c r="J36" s="11" t="n"/>
      <c r="K36" s="17" t="n">
        <v>46127</v>
      </c>
      <c r="L36" s="0" t="inlineStr">
        <is>
          <t>M-0035</t>
        </is>
      </c>
      <c r="M36" s="0" t="inlineStr">
        <is>
          <t>none</t>
        </is>
      </c>
      <c r="R36" t="inlineStr">
        <is>
          <t>xavier.ashford@example.com</t>
        </is>
      </c>
      <c r="S36" t="n">
        <v>30</v>
      </c>
      <c r="T36" t="inlineStr">
        <is>
          <t>yes</t>
        </is>
      </c>
    </row>
    <row r="37" ht="15.75" customHeight="1" s="18">
      <c r="A37" s="9" t="inlineStr">
        <is>
          <t>Mateo Calloway</t>
        </is>
      </c>
      <c r="B37" s="10" t="n">
        <v>46070</v>
      </c>
      <c r="C37" s="10">
        <f>IF(B37="","",EDATE(B37,12*(DATEDIF(B37,TODAY(),"y")+1)))</f>
        <v/>
      </c>
      <c r="D37" s="11">
        <f>IF(AND(K37="",F37=""),"",IF(OR(AND(K37&lt;&gt;"",TODAY()-K37&gt;=14),AND(F37&lt;&gt;"",TODAY()-F37&gt;=21)),"Red",IF(OR(AND(K37&lt;&gt;"",TODAY()-K37&gt;=7),AND(C37&lt;&gt;"",C37-TODAY()&lt;=30)),"Yellow","Green")))</f>
        <v/>
      </c>
      <c r="E37" s="12">
        <f>IF(K37="","",TODAY()-K37)</f>
        <v/>
      </c>
      <c r="F37" s="10">
        <f>IFERROR(1/(1/MAXIFS(Touchpoints!$A:$A,Touchpoints!$B:$B,A37)),"")</f>
        <v/>
      </c>
      <c r="G37" s="11">
        <f>IF(F37="","",TODAY()-F37)</f>
        <v/>
      </c>
      <c r="H37" s="11" t="n"/>
      <c r="I37" s="11" t="n"/>
      <c r="J37" s="11" t="n"/>
      <c r="K37" s="17" t="n">
        <v>46284</v>
      </c>
      <c r="L37" s="0" t="inlineStr">
        <is>
          <t>M-0036</t>
        </is>
      </c>
      <c r="M37" s="0" t="inlineStr">
        <is>
          <t>none</t>
        </is>
      </c>
      <c r="R37" t="inlineStr">
        <is>
          <t>mateo.calloway@example.com</t>
        </is>
      </c>
      <c r="S37" t="n">
        <v>21</v>
      </c>
      <c r="T37" t="inlineStr">
        <is>
          <t>yes</t>
        </is>
      </c>
    </row>
    <row r="38" ht="15.75" customHeight="1" s="18">
      <c r="A38" s="9" t="inlineStr">
        <is>
          <t>Peter Jamison</t>
        </is>
      </c>
      <c r="B38" s="10" t="n">
        <v>46070</v>
      </c>
      <c r="C38" s="10">
        <f>IF(B38="","",EDATE(B38,12*(DATEDIF(B38,TODAY(),"y")+1)))</f>
        <v/>
      </c>
      <c r="D38" s="11">
        <f>IF(AND(K38="",F38=""),"",IF(OR(AND(K38&lt;&gt;"",TODAY()-K38&gt;=14),AND(F38&lt;&gt;"",TODAY()-F38&gt;=21)),"Red",IF(OR(AND(K38&lt;&gt;"",TODAY()-K38&gt;=7),AND(C38&lt;&gt;"",C38-TODAY()&lt;=30)),"Yellow","Green")))</f>
        <v/>
      </c>
      <c r="E38" s="12">
        <f>IF(K38="","",TODAY()-K38)</f>
        <v/>
      </c>
      <c r="F38" s="10">
        <f>IFERROR(1/(1/MAXIFS(Touchpoints!$A:$A,Touchpoints!$B:$B,A38)),"")</f>
        <v/>
      </c>
      <c r="G38" s="11">
        <f>IF(F38="","",TODAY()-F38)</f>
        <v/>
      </c>
      <c r="H38" s="11" t="n"/>
      <c r="I38" s="11" t="n"/>
      <c r="J38" s="11" t="n"/>
      <c r="K38" s="17" t="n">
        <v>46296</v>
      </c>
      <c r="L38" s="0" t="inlineStr">
        <is>
          <t>M-0037</t>
        </is>
      </c>
      <c r="M38" s="0" t="inlineStr">
        <is>
          <t>none</t>
        </is>
      </c>
      <c r="R38" t="inlineStr">
        <is>
          <t>peter.jamison@example.com</t>
        </is>
      </c>
      <c r="S38" t="n">
        <v>29</v>
      </c>
      <c r="T38" t="inlineStr">
        <is>
          <t>yes</t>
        </is>
      </c>
    </row>
    <row r="39" ht="15.75" customHeight="1" s="18">
      <c r="A39" s="9" t="inlineStr">
        <is>
          <t>Levi Pruitt</t>
        </is>
      </c>
      <c r="B39" s="10" t="n">
        <v>46075</v>
      </c>
      <c r="C39" s="10">
        <f>IF(B39="","",EDATE(B39,12*(DATEDIF(B39,TODAY(),"y")+1)))</f>
        <v/>
      </c>
      <c r="D39" s="11">
        <f>IF(AND(K39="",F39=""),"",IF(OR(AND(K39&lt;&gt;"",TODAY()-K39&gt;=14),AND(F39&lt;&gt;"",TODAY()-F39&gt;=21)),"Red",IF(OR(AND(K39&lt;&gt;"",TODAY()-K39&gt;=7),AND(C39&lt;&gt;"",C39-TODAY()&lt;=30)),"Yellow","Green")))</f>
        <v/>
      </c>
      <c r="E39" s="12">
        <f>IF(K39="","",TODAY()-K39)</f>
        <v/>
      </c>
      <c r="F39" s="10">
        <f>IFERROR(1/(1/MAXIFS(Touchpoints!$A:$A,Touchpoints!$B:$B,A39)),"")</f>
        <v/>
      </c>
      <c r="G39" s="11">
        <f>IF(F39="","",TODAY()-F39)</f>
        <v/>
      </c>
      <c r="H39" s="11" t="n"/>
      <c r="I39" s="11" t="n"/>
      <c r="J39" s="11" t="n"/>
      <c r="K39" s="17" t="n">
        <v>46279</v>
      </c>
      <c r="L39" s="0" t="inlineStr">
        <is>
          <t>M-0038</t>
        </is>
      </c>
      <c r="M39" s="0" t="inlineStr">
        <is>
          <t>none</t>
        </is>
      </c>
      <c r="R39" t="inlineStr">
        <is>
          <t>levi.pruitt@example.com</t>
        </is>
      </c>
      <c r="S39" t="n">
        <v>38</v>
      </c>
      <c r="T39" t="inlineStr">
        <is>
          <t>yes</t>
        </is>
      </c>
    </row>
    <row r="40" ht="15.75" customHeight="1" s="18">
      <c r="A40" s="9" t="inlineStr">
        <is>
          <t>Padraig Fairview</t>
        </is>
      </c>
      <c r="B40" s="10" t="n">
        <v>46075</v>
      </c>
      <c r="C40" s="10">
        <f>IF(B40="","",EDATE(B40,12*(DATEDIF(B40,TODAY(),"y")+1)))</f>
        <v/>
      </c>
      <c r="D40" s="11">
        <f>IF(AND(K40="",F40=""),"",IF(OR(AND(K40&lt;&gt;"",TODAY()-K40&gt;=14),AND(F40&lt;&gt;"",TODAY()-F40&gt;=21)),"Red",IF(OR(AND(K40&lt;&gt;"",TODAY()-K40&gt;=7),AND(C40&lt;&gt;"",C40-TODAY()&lt;=30)),"Yellow","Green")))</f>
        <v/>
      </c>
      <c r="E40" s="12">
        <f>IF(K40="","",TODAY()-K40)</f>
        <v/>
      </c>
      <c r="F40" s="10">
        <f>IFERROR(1/(1/MAXIFS(Touchpoints!$A:$A,Touchpoints!$B:$B,A40)),"")</f>
        <v/>
      </c>
      <c r="G40" s="11">
        <f>IF(F40="","",TODAY()-F40)</f>
        <v/>
      </c>
      <c r="H40" s="11" t="inlineStr">
        <is>
          <t>land 3 new consulting clients</t>
        </is>
      </c>
      <c r="I40" s="11" t="n"/>
      <c r="J40" s="11" t="n"/>
      <c r="K40" s="17" t="n">
        <v>46147</v>
      </c>
      <c r="L40" s="0" t="inlineStr">
        <is>
          <t>M-0039</t>
        </is>
      </c>
      <c r="M40" s="0" t="inlineStr">
        <is>
          <t>none</t>
        </is>
      </c>
      <c r="R40" t="inlineStr">
        <is>
          <t>padraig.fairview@example.com</t>
        </is>
      </c>
      <c r="S40" t="n">
        <v>13</v>
      </c>
      <c r="T40" t="inlineStr">
        <is>
          <t>yes</t>
        </is>
      </c>
    </row>
    <row r="41" ht="15.75" customHeight="1" s="18">
      <c r="A41" s="9" t="inlineStr">
        <is>
          <t>Angus Quigley</t>
        </is>
      </c>
      <c r="B41" s="10" t="n">
        <v>46078</v>
      </c>
      <c r="C41" s="10">
        <f>IF(B41="","",EDATE(B41,12*(DATEDIF(B41,TODAY(),"y")+1)))</f>
        <v/>
      </c>
      <c r="D41" s="11">
        <f>IF(AND(K41="",F41=""),"",IF(OR(AND(K41&lt;&gt;"",TODAY()-K41&gt;=14),AND(F41&lt;&gt;"",TODAY()-F41&gt;=21)),"Red",IF(OR(AND(K41&lt;&gt;"",TODAY()-K41&gt;=7),AND(C41&lt;&gt;"",C41-TODAY()&lt;=30)),"Yellow","Green")))</f>
        <v/>
      </c>
      <c r="E41" s="12">
        <f>IF(K41="","",TODAY()-K41)</f>
        <v/>
      </c>
      <c r="F41" s="10">
        <f>IFERROR(1/(1/MAXIFS(Touchpoints!$A:$A,Touchpoints!$B:$B,A41)),"")</f>
        <v/>
      </c>
      <c r="G41" s="11">
        <f>IF(F41="","",TODAY()-F41)</f>
        <v/>
      </c>
      <c r="H41" s="11" t="n"/>
      <c r="I41" s="11" t="n"/>
      <c r="J41" s="11" t="n"/>
      <c r="K41" s="17" t="n">
        <v>46311</v>
      </c>
      <c r="L41" s="0" t="inlineStr">
        <is>
          <t>M-0040</t>
        </is>
      </c>
      <c r="M41" s="0" t="inlineStr">
        <is>
          <t>none</t>
        </is>
      </c>
      <c r="R41" t="inlineStr">
        <is>
          <t>angus.quigley@example.com</t>
        </is>
      </c>
      <c r="S41" t="n">
        <v>34</v>
      </c>
      <c r="T41" t="inlineStr">
        <is>
          <t>yes</t>
        </is>
      </c>
    </row>
    <row r="42" ht="15.75" customHeight="1" s="18">
      <c r="A42" s="9" t="inlineStr">
        <is>
          <t>Harold Tavish</t>
        </is>
      </c>
      <c r="B42" s="10" t="n">
        <v>46079</v>
      </c>
      <c r="C42" s="10">
        <f>IF(B42="","",EDATE(B42,12*(DATEDIF(B42,TODAY(),"y")+1)))</f>
        <v/>
      </c>
      <c r="D42" s="11">
        <f>IF(AND(K42="",F42=""),"",IF(OR(AND(K42&lt;&gt;"",TODAY()-K42&gt;=14),AND(F42&lt;&gt;"",TODAY()-F42&gt;=21)),"Red",IF(OR(AND(K42&lt;&gt;"",TODAY()-K42&gt;=7),AND(C42&lt;&gt;"",C42-TODAY()&lt;=30)),"Yellow","Green")))</f>
        <v/>
      </c>
      <c r="E42" s="12">
        <f>IF(K42="","",TODAY()-K42)</f>
        <v/>
      </c>
      <c r="F42" s="10">
        <f>IFERROR(1/(1/MAXIFS(Touchpoints!$A:$A,Touchpoints!$B:$B,A42)),"")</f>
        <v/>
      </c>
      <c r="G42" s="11">
        <f>IF(F42="","",TODAY()-F42)</f>
        <v/>
      </c>
      <c r="H42" s="11" t="n"/>
      <c r="I42" s="11" t="n"/>
      <c r="J42" s="11" t="n"/>
      <c r="K42" s="17" t="n">
        <v>46189</v>
      </c>
      <c r="L42" s="0" t="inlineStr">
        <is>
          <t>M-0041</t>
        </is>
      </c>
      <c r="M42" s="0" t="inlineStr">
        <is>
          <t>none</t>
        </is>
      </c>
      <c r="R42" t="inlineStr">
        <is>
          <t>harold.tavish@example.com</t>
        </is>
      </c>
      <c r="S42" t="n">
        <v>15</v>
      </c>
      <c r="T42" t="inlineStr">
        <is>
          <t>yes</t>
        </is>
      </c>
    </row>
    <row r="43" ht="15.75" customHeight="1" s="18">
      <c r="A43" s="9" t="inlineStr">
        <is>
          <t>Edmund Grimshaw</t>
        </is>
      </c>
      <c r="B43" s="10" t="n">
        <v>46081</v>
      </c>
      <c r="C43" s="10">
        <f>IF(B43="","",EDATE(B43,12*(DATEDIF(B43,TODAY(),"y")+1)))</f>
        <v/>
      </c>
      <c r="D43" s="11">
        <f>IF(AND(K43="",F43=""),"",IF(OR(AND(K43&lt;&gt;"",TODAY()-K43&gt;=14),AND(F43&lt;&gt;"",TODAY()-F43&gt;=21)),"Red",IF(OR(AND(K43&lt;&gt;"",TODAY()-K43&gt;=7),AND(C43&lt;&gt;"",C43-TODAY()&lt;=30)),"Yellow","Green")))</f>
        <v/>
      </c>
      <c r="E43" s="12">
        <f>IF(K43="","",TODAY()-K43)</f>
        <v/>
      </c>
      <c r="F43" s="10">
        <f>IFERROR(1/(1/MAXIFS(Touchpoints!$A:$A,Touchpoints!$B:$B,A43)),"")</f>
        <v/>
      </c>
      <c r="G43" s="11">
        <f>IF(F43="","",TODAY()-F43)</f>
        <v/>
      </c>
      <c r="H43" s="11" t="n"/>
      <c r="I43" s="11" t="n"/>
      <c r="J43" s="11" t="n"/>
      <c r="K43" s="17" t="n">
        <v>46081</v>
      </c>
      <c r="L43" s="0" t="inlineStr">
        <is>
          <t>M-0042</t>
        </is>
      </c>
      <c r="M43" s="0" t="inlineStr">
        <is>
          <t>none</t>
        </is>
      </c>
      <c r="R43" t="inlineStr">
        <is>
          <t>edmund.grimshaw@example.com</t>
        </is>
      </c>
      <c r="S43" t="n">
        <v>19</v>
      </c>
      <c r="T43" t="inlineStr">
        <is>
          <t>yes</t>
        </is>
      </c>
    </row>
    <row r="44" ht="15.75" customHeight="1" s="18">
      <c r="A44" s="9" t="inlineStr">
        <is>
          <t>Callum Dunhill</t>
        </is>
      </c>
      <c r="B44" s="10" t="n">
        <v>46081</v>
      </c>
      <c r="C44" s="10">
        <f>IF(B44="","",EDATE(B44,12*(DATEDIF(B44,TODAY(),"y")+1)))</f>
        <v/>
      </c>
      <c r="D44" s="11">
        <f>IF(AND(K44="",F44=""),"",IF(OR(AND(K44&lt;&gt;"",TODAY()-K44&gt;=14),AND(F44&lt;&gt;"",TODAY()-F44&gt;=21)),"Red",IF(OR(AND(K44&lt;&gt;"",TODAY()-K44&gt;=7),AND(C44&lt;&gt;"",C44-TODAY()&lt;=30)),"Yellow","Green")))</f>
        <v/>
      </c>
      <c r="E44" s="12">
        <f>IF(K44="","",TODAY()-K44)</f>
        <v/>
      </c>
      <c r="F44" s="10">
        <f>IFERROR(1/(1/MAXIFS(Touchpoints!$A:$A,Touchpoints!$B:$B,A44)),"")</f>
        <v/>
      </c>
      <c r="G44" s="11">
        <f>IF(F44="","",TODAY()-F44)</f>
        <v/>
      </c>
      <c r="H44" s="11" t="n"/>
      <c r="I44" s="11" t="n"/>
      <c r="J44" s="11" t="n"/>
      <c r="K44" s="17" t="n">
        <v>46302</v>
      </c>
      <c r="L44" s="0" t="inlineStr">
        <is>
          <t>M-0043</t>
        </is>
      </c>
      <c r="M44" s="0" t="inlineStr">
        <is>
          <t>none</t>
        </is>
      </c>
      <c r="R44" t="inlineStr">
        <is>
          <t>callum.dunhill@example.com</t>
        </is>
      </c>
      <c r="S44" t="n">
        <v>32</v>
      </c>
      <c r="T44" t="inlineStr">
        <is>
          <t>yes</t>
        </is>
      </c>
    </row>
    <row r="45" ht="15.75" customHeight="1" s="18">
      <c r="A45" s="9" t="inlineStr">
        <is>
          <t>Levi Yardley</t>
        </is>
      </c>
      <c r="B45" s="10" t="n">
        <v>45717</v>
      </c>
      <c r="C45" s="10">
        <f>IF(B45="","",EDATE(B45,12*(DATEDIF(B45,TODAY(),"y")+1)))</f>
        <v/>
      </c>
      <c r="D45" s="11">
        <f>IF(AND(K45="",F45=""),"",IF(OR(AND(K45&lt;&gt;"",TODAY()-K45&gt;=14),AND(F45&lt;&gt;"",TODAY()-F45&gt;=21)),"Red",IF(OR(AND(K45&lt;&gt;"",TODAY()-K45&gt;=7),AND(C45&lt;&gt;"",C45-TODAY()&lt;=30)),"Yellow","Green")))</f>
        <v/>
      </c>
      <c r="E45" s="12">
        <f>IF(K45="","",TODAY()-K45)</f>
        <v/>
      </c>
      <c r="F45" s="10">
        <f>IFERROR(1/(1/MAXIFS(Touchpoints!$A:$A,Touchpoints!$B:$B,A45)),"")</f>
        <v/>
      </c>
      <c r="G45" s="11">
        <f>IF(F45="","",TODAY()-F45)</f>
        <v/>
      </c>
      <c r="H45" s="11" t="n"/>
      <c r="I45" s="11" t="n"/>
      <c r="J45" s="11" t="n"/>
      <c r="K45" s="17" t="n">
        <v>46308</v>
      </c>
      <c r="L45" s="0" t="inlineStr">
        <is>
          <t>M-0044</t>
        </is>
      </c>
      <c r="M45" s="0" t="inlineStr">
        <is>
          <t>none</t>
        </is>
      </c>
      <c r="R45" t="inlineStr">
        <is>
          <t>levi.yardley@example.com</t>
        </is>
      </c>
      <c r="S45" t="n">
        <v>1</v>
      </c>
      <c r="T45" t="inlineStr">
        <is>
          <t>yes</t>
        </is>
      </c>
    </row>
    <row r="46" ht="15.75" customHeight="1" s="18">
      <c r="A46" s="9" t="inlineStr">
        <is>
          <t>Xavier Ingram</t>
        </is>
      </c>
      <c r="B46" s="10" t="n">
        <v>46083</v>
      </c>
      <c r="C46" s="10">
        <f>IF(B46="","",EDATE(B46,12*(DATEDIF(B46,TODAY(),"y")+1)))</f>
        <v/>
      </c>
      <c r="D46" s="11">
        <f>IF(AND(K46="",F46=""),"",IF(OR(AND(K46&lt;&gt;"",TODAY()-K46&gt;=14),AND(F46&lt;&gt;"",TODAY()-F46&gt;=21)),"Red",IF(OR(AND(K46&lt;&gt;"",TODAY()-K46&gt;=7),AND(C46&lt;&gt;"",C46-TODAY()&lt;=30)),"Yellow","Green")))</f>
        <v/>
      </c>
      <c r="E46" s="12">
        <f>IF(K46="","",TODAY()-K46)</f>
        <v/>
      </c>
      <c r="F46" s="10">
        <f>IFERROR(1/(1/MAXIFS(Touchpoints!$A:$A,Touchpoints!$B:$B,A46)),"")</f>
        <v/>
      </c>
      <c r="G46" s="11">
        <f>IF(F46="","",TODAY()-F46)</f>
        <v/>
      </c>
      <c r="H46" s="11" t="n"/>
      <c r="I46" s="11" t="n"/>
      <c r="J46" s="11" t="n"/>
      <c r="K46" s="17" t="n">
        <v>46305</v>
      </c>
      <c r="L46" s="0" t="inlineStr">
        <is>
          <t>M-0045</t>
        </is>
      </c>
      <c r="M46" s="0" t="inlineStr">
        <is>
          <t>none</t>
        </is>
      </c>
      <c r="R46" t="inlineStr">
        <is>
          <t>xavier.ingram@example.com</t>
        </is>
      </c>
      <c r="S46" t="n">
        <v>6</v>
      </c>
      <c r="T46" t="inlineStr">
        <is>
          <t>yes</t>
        </is>
      </c>
    </row>
    <row r="47" ht="15.75" customHeight="1" s="18">
      <c r="A47" s="9" t="inlineStr">
        <is>
          <t>Nathaniel Quimby</t>
        </is>
      </c>
      <c r="B47" s="10" t="n">
        <v>46088</v>
      </c>
      <c r="C47" s="10">
        <f>IF(B47="","",EDATE(B47,12*(DATEDIF(B47,TODAY(),"y")+1)))</f>
        <v/>
      </c>
      <c r="D47" s="11">
        <f>IF(AND(K47="",F47=""),"",IF(OR(AND(K47&lt;&gt;"",TODAY()-K47&gt;=14),AND(F47&lt;&gt;"",TODAY()-F47&gt;=21)),"Red",IF(OR(AND(K47&lt;&gt;"",TODAY()-K47&gt;=7),AND(C47&lt;&gt;"",C47-TODAY()&lt;=30)),"Yellow","Green")))</f>
        <v/>
      </c>
      <c r="E47" s="12">
        <f>IF(K47="","",TODAY()-K47)</f>
        <v/>
      </c>
      <c r="F47" s="10">
        <f>IFERROR(1/(1/MAXIFS(Touchpoints!$A:$A,Touchpoints!$B:$B,A47)),"")</f>
        <v/>
      </c>
      <c r="G47" s="11">
        <f>IF(F47="","",TODAY()-F47)</f>
        <v/>
      </c>
      <c r="H47" s="11" t="n"/>
      <c r="I47" s="11" t="n"/>
      <c r="J47" s="11" t="n"/>
      <c r="K47" s="17" t="n">
        <v>46311</v>
      </c>
      <c r="L47" s="0" t="inlineStr">
        <is>
          <t>M-0046</t>
        </is>
      </c>
      <c r="M47" s="0" t="inlineStr">
        <is>
          <t>none</t>
        </is>
      </c>
      <c r="R47" t="inlineStr">
        <is>
          <t>nathaniel.quimby@example.com</t>
        </is>
      </c>
      <c r="S47" t="n">
        <v>30</v>
      </c>
      <c r="T47" t="inlineStr">
        <is>
          <t>yes</t>
        </is>
      </c>
    </row>
    <row r="48" ht="15.75" customHeight="1" s="18">
      <c r="A48" s="9" t="inlineStr">
        <is>
          <t>Derek Sinclair</t>
        </is>
      </c>
      <c r="B48" s="10" t="n">
        <v>46089</v>
      </c>
      <c r="C48" s="10">
        <f>IF(B48="","",EDATE(B48,12*(DATEDIF(B48,TODAY(),"y")+1)))</f>
        <v/>
      </c>
      <c r="D48" s="11">
        <f>IF(AND(K48="",F48=""),"",IF(OR(AND(K48&lt;&gt;"",TODAY()-K48&gt;=14),AND(F48&lt;&gt;"",TODAY()-F48&gt;=21)),"Red",IF(OR(AND(K48&lt;&gt;"",TODAY()-K48&gt;=7),AND(C48&lt;&gt;"",C48-TODAY()&lt;=30)),"Yellow","Green")))</f>
        <v/>
      </c>
      <c r="E48" s="12">
        <f>IF(K48="","",TODAY()-K48)</f>
        <v/>
      </c>
      <c r="F48" s="10">
        <f>IFERROR(1/(1/MAXIFS(Touchpoints!$A:$A,Touchpoints!$B:$B,A48)),"")</f>
        <v/>
      </c>
      <c r="G48" s="11">
        <f>IF(F48="","",TODAY()-F48)</f>
        <v/>
      </c>
      <c r="H48" s="11" t="n"/>
      <c r="I48" s="11" t="n"/>
      <c r="J48" s="11" t="n"/>
      <c r="K48" s="17" t="n">
        <v>46258</v>
      </c>
      <c r="L48" s="0" t="inlineStr">
        <is>
          <t>M-0047</t>
        </is>
      </c>
      <c r="M48" s="0" t="inlineStr">
        <is>
          <t>none</t>
        </is>
      </c>
      <c r="R48" t="inlineStr">
        <is>
          <t>derek.sinclair@example.com</t>
        </is>
      </c>
      <c r="S48" t="n">
        <v>18</v>
      </c>
      <c r="T48" t="inlineStr">
        <is>
          <t>yes</t>
        </is>
      </c>
    </row>
    <row r="49" ht="15.75" customHeight="1" s="18">
      <c r="A49" s="9" t="inlineStr">
        <is>
          <t>Andre Marlowe</t>
        </is>
      </c>
      <c r="B49" s="10" t="n">
        <v>46090</v>
      </c>
      <c r="C49" s="10">
        <f>IF(B49="","",EDATE(B49,12*(DATEDIF(B49,TODAY(),"y")+1)))</f>
        <v/>
      </c>
      <c r="D49" s="11">
        <f>IF(AND(K49="",F49=""),"",IF(OR(AND(K49&lt;&gt;"",TODAY()-K49&gt;=14),AND(F49&lt;&gt;"",TODAY()-F49&gt;=21)),"Red",IF(OR(AND(K49&lt;&gt;"",TODAY()-K49&gt;=7),AND(C49&lt;&gt;"",C49-TODAY()&lt;=30)),"Yellow","Green")))</f>
        <v/>
      </c>
      <c r="E49" s="12">
        <f>IF(K49="","",TODAY()-K49)</f>
        <v/>
      </c>
      <c r="F49" s="10">
        <f>IFERROR(1/(1/MAXIFS(Touchpoints!$A:$A,Touchpoints!$B:$B,A49)),"")</f>
        <v/>
      </c>
      <c r="G49" s="11">
        <f>IF(F49="","",TODAY()-F49)</f>
        <v/>
      </c>
      <c r="H49" s="11" t="n"/>
      <c r="I49" s="11" t="n"/>
      <c r="J49" s="11" t="n"/>
      <c r="K49" s="17" t="n">
        <v>46284</v>
      </c>
      <c r="L49" s="0" t="inlineStr">
        <is>
          <t>M-0048</t>
        </is>
      </c>
      <c r="M49" s="0" t="inlineStr">
        <is>
          <t>none</t>
        </is>
      </c>
      <c r="R49" t="inlineStr">
        <is>
          <t>andre.marlowe@example.com</t>
        </is>
      </c>
      <c r="S49" t="n">
        <v>27</v>
      </c>
      <c r="T49" t="inlineStr">
        <is>
          <t>yes</t>
        </is>
      </c>
    </row>
    <row r="50" ht="15.75" customHeight="1" s="18">
      <c r="A50" s="9" t="inlineStr">
        <is>
          <t>Clifford Quimby</t>
        </is>
      </c>
      <c r="B50" s="10" t="n">
        <v>46092</v>
      </c>
      <c r="C50" s="10">
        <f>IF(B50="","",EDATE(B50,12*(DATEDIF(B50,TODAY(),"y")+1)))</f>
        <v/>
      </c>
      <c r="D50" s="11">
        <f>IF(AND(K50="",F50=""),"",IF(OR(AND(K50&lt;&gt;"",TODAY()-K50&gt;=14),AND(F50&lt;&gt;"",TODAY()-F50&gt;=21)),"Red",IF(OR(AND(K50&lt;&gt;"",TODAY()-K50&gt;=7),AND(C50&lt;&gt;"",C50-TODAY()&lt;=30)),"Yellow","Green")))</f>
        <v/>
      </c>
      <c r="E50" s="12">
        <f>IF(K50="","",TODAY()-K50)</f>
        <v/>
      </c>
      <c r="F50" s="10">
        <f>IFERROR(1/(1/MAXIFS(Touchpoints!$A:$A,Touchpoints!$B:$B,A50)),"")</f>
        <v/>
      </c>
      <c r="G50" s="11">
        <f>IF(F50="","",TODAY()-F50)</f>
        <v/>
      </c>
      <c r="H50" s="11" t="n"/>
      <c r="I50" s="11" t="n"/>
      <c r="J50" s="11" t="n"/>
      <c r="K50" s="17" t="n">
        <v>46192</v>
      </c>
      <c r="L50" s="0" t="inlineStr">
        <is>
          <t>M-0049</t>
        </is>
      </c>
      <c r="M50" s="0" t="inlineStr">
        <is>
          <t>none</t>
        </is>
      </c>
      <c r="R50" t="inlineStr">
        <is>
          <t>clifford.quimby@example.com</t>
        </is>
      </c>
      <c r="S50" t="n">
        <v>36</v>
      </c>
      <c r="T50" t="inlineStr">
        <is>
          <t>yes</t>
        </is>
      </c>
    </row>
    <row r="51" ht="15.75" customHeight="1" s="18">
      <c r="A51" s="9" t="inlineStr">
        <is>
          <t>Clifford Eastwood</t>
        </is>
      </c>
      <c r="B51" s="10" t="n">
        <v>46094</v>
      </c>
      <c r="C51" s="10">
        <f>IF(B51="","",EDATE(B51,12*(DATEDIF(B51,TODAY(),"y")+1)))</f>
        <v/>
      </c>
      <c r="D51" s="11">
        <f>IF(AND(K51="",F51=""),"",IF(OR(AND(K51&lt;&gt;"",TODAY()-K51&gt;=14),AND(F51&lt;&gt;"",TODAY()-F51&gt;=21)),"Red",IF(OR(AND(K51&lt;&gt;"",TODAY()-K51&gt;=7),AND(C51&lt;&gt;"",C51-TODAY()&lt;=30)),"Yellow","Green")))</f>
        <v/>
      </c>
      <c r="E51" s="12">
        <f>IF(K51="","",TODAY()-K51)</f>
        <v/>
      </c>
      <c r="F51" s="10">
        <f>IFERROR(1/(1/MAXIFS(Touchpoints!$A:$A,Touchpoints!$B:$B,A51)),"")</f>
        <v/>
      </c>
      <c r="G51" s="11">
        <f>IF(F51="","",TODAY()-F51)</f>
        <v/>
      </c>
      <c r="H51" s="11" t="n"/>
      <c r="I51" s="11" t="n"/>
      <c r="J51" s="11" t="n"/>
      <c r="K51" s="17" t="n">
        <v>46308</v>
      </c>
      <c r="L51" s="0" t="inlineStr">
        <is>
          <t>M-0050</t>
        </is>
      </c>
      <c r="M51" s="0" t="inlineStr">
        <is>
          <t>none</t>
        </is>
      </c>
      <c r="R51" t="inlineStr">
        <is>
          <t>clifford.eastwood@example.com</t>
        </is>
      </c>
      <c r="S51" t="n">
        <v>6</v>
      </c>
      <c r="T51" t="inlineStr">
        <is>
          <t>yes</t>
        </is>
      </c>
    </row>
    <row r="52" ht="15.75" customHeight="1" s="18">
      <c r="A52" s="9" t="inlineStr">
        <is>
          <t>Angus Orchard</t>
        </is>
      </c>
      <c r="B52" s="10" t="n">
        <v>45730</v>
      </c>
      <c r="C52" s="10">
        <f>IF(B52="","",EDATE(B52,12*(DATEDIF(B52,TODAY(),"y")+1)))</f>
        <v/>
      </c>
      <c r="D52" s="11">
        <f>IF(AND(K52="",F52=""),"",IF(OR(AND(K52&lt;&gt;"",TODAY()-K52&gt;=14),AND(F52&lt;&gt;"",TODAY()-F52&gt;=21)),"Red",IF(OR(AND(K52&lt;&gt;"",TODAY()-K52&gt;=7),AND(C52&lt;&gt;"",C52-TODAY()&lt;=30)),"Yellow","Green")))</f>
        <v/>
      </c>
      <c r="E52" s="12">
        <f>IF(K52="","",TODAY()-K52)</f>
        <v/>
      </c>
      <c r="F52" s="10">
        <f>IFERROR(1/(1/MAXIFS(Touchpoints!$A:$A,Touchpoints!$B:$B,A52)),"")</f>
        <v/>
      </c>
      <c r="G52" s="11">
        <f>IF(F52="","",TODAY()-F52)</f>
        <v/>
      </c>
      <c r="H52" s="11" t="n"/>
      <c r="I52" s="11" t="n"/>
      <c r="J52" s="11" t="n"/>
      <c r="K52" s="17" t="n">
        <v>46274</v>
      </c>
      <c r="L52" s="0" t="inlineStr">
        <is>
          <t>M-0051</t>
        </is>
      </c>
      <c r="M52" s="0" t="inlineStr">
        <is>
          <t>none</t>
        </is>
      </c>
      <c r="R52" t="inlineStr">
        <is>
          <t>angus.orchard@example.com</t>
        </is>
      </c>
      <c r="S52" t="n">
        <v>17</v>
      </c>
      <c r="T52" t="inlineStr">
        <is>
          <t>yes</t>
        </is>
      </c>
    </row>
    <row r="53" ht="15.75" customHeight="1" s="18">
      <c r="A53" s="9" t="inlineStr">
        <is>
          <t>Stefan Fairview</t>
        </is>
      </c>
      <c r="B53" s="10" t="n">
        <v>46096</v>
      </c>
      <c r="C53" s="10">
        <f>IF(B53="","",EDATE(B53,12*(DATEDIF(B53,TODAY(),"y")+1)))</f>
        <v/>
      </c>
      <c r="D53" s="11">
        <f>IF(AND(K53="",F53=""),"",IF(OR(AND(K53&lt;&gt;"",TODAY()-K53&gt;=14),AND(F53&lt;&gt;"",TODAY()-F53&gt;=21)),"Red",IF(OR(AND(K53&lt;&gt;"",TODAY()-K53&gt;=7),AND(C53&lt;&gt;"",C53-TODAY()&lt;=30)),"Yellow","Green")))</f>
        <v/>
      </c>
      <c r="E53" s="12">
        <f>IF(K53="","",TODAY()-K53)</f>
        <v/>
      </c>
      <c r="F53" s="10">
        <f>IFERROR(1/(1/MAXIFS(Touchpoints!$A:$A,Touchpoints!$B:$B,A53)),"")</f>
        <v/>
      </c>
      <c r="G53" s="11">
        <f>IF(F53="","",TODAY()-F53)</f>
        <v/>
      </c>
      <c r="H53" s="11" t="n"/>
      <c r="I53" s="11" t="n"/>
      <c r="J53" s="11" t="n"/>
      <c r="K53" s="17" t="n">
        <v>46309</v>
      </c>
      <c r="L53" s="0" t="inlineStr">
        <is>
          <t>M-0052</t>
        </is>
      </c>
      <c r="M53" s="0" t="inlineStr">
        <is>
          <t>none</t>
        </is>
      </c>
      <c r="R53" t="inlineStr">
        <is>
          <t>stefan.fairview@example.com</t>
        </is>
      </c>
      <c r="S53" t="n">
        <v>21</v>
      </c>
      <c r="T53" t="inlineStr">
        <is>
          <t>yes</t>
        </is>
      </c>
    </row>
    <row r="54" ht="15.75" customHeight="1" s="18">
      <c r="A54" s="9" t="inlineStr">
        <is>
          <t>Malcolm Corbin</t>
        </is>
      </c>
      <c r="B54" s="10" t="n">
        <v>46105</v>
      </c>
      <c r="C54" s="10">
        <f>IF(B54="","",EDATE(B54,12*(DATEDIF(B54,TODAY(),"y")+1)))</f>
        <v/>
      </c>
      <c r="D54" s="11">
        <f>IF(AND(K54="",F54=""),"",IF(OR(AND(K54&lt;&gt;"",TODAY()-K54&gt;=14),AND(F54&lt;&gt;"",TODAY()-F54&gt;=21)),"Red",IF(OR(AND(K54&lt;&gt;"",TODAY()-K54&gt;=7),AND(C54&lt;&gt;"",C54-TODAY()&lt;=30)),"Yellow","Green")))</f>
        <v/>
      </c>
      <c r="E54" s="12">
        <f>IF(K54="","",TODAY()-K54)</f>
        <v/>
      </c>
      <c r="F54" s="10">
        <f>IFERROR(1/(1/MAXIFS(Touchpoints!$A:$A,Touchpoints!$B:$B,A54)),"")</f>
        <v/>
      </c>
      <c r="G54" s="11">
        <f>IF(F54="","",TODAY()-F54)</f>
        <v/>
      </c>
      <c r="H54" s="11" t="inlineStr">
        <is>
          <t>hire a part-time assistant</t>
        </is>
      </c>
      <c r="I54" s="11" t="n"/>
      <c r="J54" s="11" t="n"/>
      <c r="K54" s="17" t="n">
        <v>46242</v>
      </c>
      <c r="L54" s="0" t="inlineStr">
        <is>
          <t>M-0053</t>
        </is>
      </c>
      <c r="M54" s="0" t="inlineStr">
        <is>
          <t>none</t>
        </is>
      </c>
      <c r="R54" t="inlineStr">
        <is>
          <t>malcolm.corbin@example.com</t>
        </is>
      </c>
      <c r="S54" t="n">
        <v>15</v>
      </c>
      <c r="T54" t="inlineStr">
        <is>
          <t>yes</t>
        </is>
      </c>
    </row>
    <row r="55" ht="15.75" customHeight="1" s="18">
      <c r="A55" s="9" t="inlineStr">
        <is>
          <t>Oscar Fenwick</t>
        </is>
      </c>
      <c r="B55" s="10" t="n">
        <v>46106</v>
      </c>
      <c r="C55" s="10">
        <f>IF(B55="","",EDATE(B55,12*(DATEDIF(B55,TODAY(),"y")+1)))</f>
        <v/>
      </c>
      <c r="D55" s="11">
        <f>IF(AND(K55="",F55=""),"",IF(OR(AND(K55&lt;&gt;"",TODAY()-K55&gt;=14),AND(F55&lt;&gt;"",TODAY()-F55&gt;=21)),"Red",IF(OR(AND(K55&lt;&gt;"",TODAY()-K55&gt;=7),AND(C55&lt;&gt;"",C55-TODAY()&lt;=30)),"Yellow","Green")))</f>
        <v/>
      </c>
      <c r="E55" s="12">
        <f>IF(K55="","",TODAY()-K55)</f>
        <v/>
      </c>
      <c r="F55" s="10">
        <f>IFERROR(1/(1/MAXIFS(Touchpoints!$A:$A,Touchpoints!$B:$B,A55)),"")</f>
        <v/>
      </c>
      <c r="G55" s="11">
        <f>IF(F55="","",TODAY()-F55)</f>
        <v/>
      </c>
      <c r="H55" s="11" t="n"/>
      <c r="I55" s="11" t="n"/>
      <c r="J55" s="11" t="n"/>
      <c r="K55" s="17" t="n">
        <v>46302</v>
      </c>
      <c r="L55" s="0" t="inlineStr">
        <is>
          <t>M-0054</t>
        </is>
      </c>
      <c r="M55" s="0" t="inlineStr">
        <is>
          <t>none</t>
        </is>
      </c>
      <c r="R55" t="inlineStr">
        <is>
          <t>oscar.fenwick@example.com</t>
        </is>
      </c>
      <c r="S55" t="n">
        <v>33</v>
      </c>
      <c r="T55" t="inlineStr">
        <is>
          <t>yes</t>
        </is>
      </c>
    </row>
    <row r="56" ht="15.75" customHeight="1" s="18">
      <c r="A56" s="9" t="inlineStr">
        <is>
          <t>Adam Carmichael</t>
        </is>
      </c>
      <c r="B56" s="10" t="n">
        <v>46110</v>
      </c>
      <c r="C56" s="10">
        <f>IF(B56="","",EDATE(B56,12*(DATEDIF(B56,TODAY(),"y")+1)))</f>
        <v/>
      </c>
      <c r="D56" s="11">
        <f>IF(AND(K56="",F56=""),"",IF(OR(AND(K56&lt;&gt;"",TODAY()-K56&gt;=14),AND(F56&lt;&gt;"",TODAY()-F56&gt;=21)),"Red",IF(OR(AND(K56&lt;&gt;"",TODAY()-K56&gt;=7),AND(C56&lt;&gt;"",C56-TODAY()&lt;=30)),"Yellow","Green")))</f>
        <v/>
      </c>
      <c r="E56" s="12">
        <f>IF(K56="","",TODAY()-K56)</f>
        <v/>
      </c>
      <c r="F56" s="10">
        <f>IFERROR(1/(1/MAXIFS(Touchpoints!$A:$A,Touchpoints!$B:$B,A56)),"")</f>
        <v/>
      </c>
      <c r="G56" s="11">
        <f>IF(F56="","",TODAY()-F56)</f>
        <v/>
      </c>
      <c r="H56" s="11" t="n"/>
      <c r="I56" s="11" t="n"/>
      <c r="J56" s="11" t="n"/>
      <c r="K56" s="17" t="n">
        <v>46310</v>
      </c>
      <c r="L56" s="0" t="inlineStr">
        <is>
          <t>M-0055</t>
        </is>
      </c>
      <c r="M56" s="0" t="inlineStr">
        <is>
          <t>none</t>
        </is>
      </c>
      <c r="R56" t="inlineStr">
        <is>
          <t>adam.carmichael@example.com</t>
        </is>
      </c>
      <c r="S56" t="n">
        <v>19</v>
      </c>
      <c r="T56" t="inlineStr">
        <is>
          <t>yes</t>
        </is>
      </c>
    </row>
    <row r="57" ht="15.75" customHeight="1" s="18">
      <c r="A57" s="9" t="inlineStr">
        <is>
          <t>Andrei Pruitt</t>
        </is>
      </c>
      <c r="B57" s="10" t="n">
        <v>45747</v>
      </c>
      <c r="C57" s="10">
        <f>IF(B57="","",EDATE(B57,12*(DATEDIF(B57,TODAY(),"y")+1)))</f>
        <v/>
      </c>
      <c r="D57" s="11">
        <f>IF(AND(K57="",F57=""),"",IF(OR(AND(K57&lt;&gt;"",TODAY()-K57&gt;=14),AND(F57&lt;&gt;"",TODAY()-F57&gt;=21)),"Red",IF(OR(AND(K57&lt;&gt;"",TODAY()-K57&gt;=7),AND(C57&lt;&gt;"",C57-TODAY()&lt;=30)),"Yellow","Green")))</f>
        <v/>
      </c>
      <c r="E57" s="12">
        <f>IF(K57="","",TODAY()-K57)</f>
        <v/>
      </c>
      <c r="F57" s="10">
        <f>IFERROR(1/(1/MAXIFS(Touchpoints!$A:$A,Touchpoints!$B:$B,A57)),"")</f>
        <v/>
      </c>
      <c r="G57" s="11">
        <f>IF(F57="","",TODAY()-F57)</f>
        <v/>
      </c>
      <c r="H57" s="11" t="n"/>
      <c r="I57" s="11" t="n"/>
      <c r="J57" s="11" t="n"/>
      <c r="K57" s="17" t="n">
        <v>46250</v>
      </c>
      <c r="L57" s="0" t="inlineStr">
        <is>
          <t>M-0056</t>
        </is>
      </c>
      <c r="M57" s="0" t="inlineStr">
        <is>
          <t>none</t>
        </is>
      </c>
      <c r="R57" t="inlineStr">
        <is>
          <t>andrei.pruitt@example.com</t>
        </is>
      </c>
      <c r="S57" t="n">
        <v>2</v>
      </c>
      <c r="T57" t="inlineStr">
        <is>
          <t>yes</t>
        </is>
      </c>
    </row>
    <row r="58" ht="15.75" customHeight="1" s="18">
      <c r="A58" s="9" t="inlineStr">
        <is>
          <t>Cedric Montgomery</t>
        </is>
      </c>
      <c r="B58" s="10" t="n">
        <v>46113</v>
      </c>
      <c r="C58" s="10">
        <f>IF(B58="","",EDATE(B58,12*(DATEDIF(B58,TODAY(),"y")+1)))</f>
        <v/>
      </c>
      <c r="D58" s="11">
        <f>IF(AND(K58="",F58=""),"",IF(OR(AND(K58&lt;&gt;"",TODAY()-K58&gt;=14),AND(F58&lt;&gt;"",TODAY()-F58&gt;=21)),"Red",IF(OR(AND(K58&lt;&gt;"",TODAY()-K58&gt;=7),AND(C58&lt;&gt;"",C58-TODAY()&lt;=30)),"Yellow","Green")))</f>
        <v/>
      </c>
      <c r="E58" s="12">
        <f>IF(K58="","",TODAY()-K58)</f>
        <v/>
      </c>
      <c r="F58" s="10">
        <f>IFERROR(1/(1/MAXIFS(Touchpoints!$A:$A,Touchpoints!$B:$B,A58)),"")</f>
        <v/>
      </c>
      <c r="G58" s="11">
        <f>IF(F58="","",TODAY()-F58)</f>
        <v/>
      </c>
      <c r="H58" s="11" t="n"/>
      <c r="I58" s="11" t="n"/>
      <c r="J58" s="11" t="n"/>
      <c r="K58" s="17" t="n">
        <v>46307</v>
      </c>
      <c r="L58" s="0" t="inlineStr">
        <is>
          <t>M-0057</t>
        </is>
      </c>
      <c r="M58" s="0" t="inlineStr">
        <is>
          <t>none</t>
        </is>
      </c>
      <c r="R58" t="inlineStr">
        <is>
          <t>cedric.montgomery@example.com</t>
        </is>
      </c>
      <c r="S58" t="n">
        <v>0</v>
      </c>
      <c r="T58" t="inlineStr">
        <is>
          <t>no</t>
        </is>
      </c>
    </row>
    <row r="59" ht="15.75" customHeight="1" s="18">
      <c r="A59" s="9" t="inlineStr">
        <is>
          <t>Jonah Thornbury</t>
        </is>
      </c>
      <c r="B59" s="10" t="n">
        <v>46120</v>
      </c>
      <c r="C59" s="10">
        <f>IF(B59="","",EDATE(B59,12*(DATEDIF(B59,TODAY(),"y")+1)))</f>
        <v/>
      </c>
      <c r="D59" s="11">
        <f>IF(AND(K59="",F59=""),"",IF(OR(AND(K59&lt;&gt;"",TODAY()-K59&gt;=14),AND(F59&lt;&gt;"",TODAY()-F59&gt;=21)),"Red",IF(OR(AND(K59&lt;&gt;"",TODAY()-K59&gt;=7),AND(C59&lt;&gt;"",C59-TODAY()&lt;=30)),"Yellow","Green")))</f>
        <v/>
      </c>
      <c r="E59" s="12">
        <f>IF(K59="","",TODAY()-K59)</f>
        <v/>
      </c>
      <c r="F59" s="10">
        <f>IFERROR(1/(1/MAXIFS(Touchpoints!$A:$A,Touchpoints!$B:$B,A59)),"")</f>
        <v/>
      </c>
      <c r="G59" s="11">
        <f>IF(F59="","",TODAY()-F59)</f>
        <v/>
      </c>
      <c r="H59" s="11" t="n"/>
      <c r="I59" s="11" t="n"/>
      <c r="J59" s="11" t="n"/>
      <c r="K59" s="17" t="n">
        <v>46152</v>
      </c>
      <c r="L59" s="0" t="inlineStr">
        <is>
          <t>M-0058</t>
        </is>
      </c>
      <c r="M59" s="0" t="inlineStr">
        <is>
          <t>none</t>
        </is>
      </c>
      <c r="R59" t="inlineStr">
        <is>
          <t>jonah.thornbury@example.com</t>
        </is>
      </c>
      <c r="S59" t="n">
        <v>26</v>
      </c>
      <c r="T59" t="inlineStr">
        <is>
          <t>yes</t>
        </is>
      </c>
    </row>
    <row r="60" ht="15.75" customHeight="1" s="18">
      <c r="A60" s="9" t="inlineStr">
        <is>
          <t>Owen Yandell</t>
        </is>
      </c>
      <c r="B60" s="10" t="n">
        <v>46122</v>
      </c>
      <c r="C60" s="10">
        <f>IF(B60="","",EDATE(B60,12*(DATEDIF(B60,TODAY(),"y")+1)))</f>
        <v/>
      </c>
      <c r="D60" s="11">
        <f>IF(AND(K60="",F60=""),"",IF(OR(AND(K60&lt;&gt;"",TODAY()-K60&gt;=14),AND(F60&lt;&gt;"",TODAY()-F60&gt;=21)),"Red",IF(OR(AND(K60&lt;&gt;"",TODAY()-K60&gt;=7),AND(C60&lt;&gt;"",C60-TODAY()&lt;=30)),"Yellow","Green")))</f>
        <v/>
      </c>
      <c r="E60" s="12">
        <f>IF(K60="","",TODAY()-K60)</f>
        <v/>
      </c>
      <c r="F60" s="10">
        <f>IFERROR(1/(1/MAXIFS(Touchpoints!$A:$A,Touchpoints!$B:$B,A60)),"")</f>
        <v/>
      </c>
      <c r="G60" s="11">
        <f>IF(F60="","",TODAY()-F60)</f>
        <v/>
      </c>
      <c r="H60" s="11" t="n"/>
      <c r="I60" s="11" t="n"/>
      <c r="J60" s="11" t="inlineStr">
        <is>
          <t>Moderator</t>
        </is>
      </c>
      <c r="K60" s="17" t="n">
        <v>46292</v>
      </c>
      <c r="L60" s="0" t="inlineStr">
        <is>
          <t>M-0059</t>
        </is>
      </c>
      <c r="M60" s="0" t="inlineStr">
        <is>
          <t>none</t>
        </is>
      </c>
      <c r="R60" t="inlineStr">
        <is>
          <t>owen.yandell@example.com</t>
        </is>
      </c>
      <c r="S60" t="n">
        <v>0</v>
      </c>
      <c r="T60" t="inlineStr">
        <is>
          <t>no</t>
        </is>
      </c>
    </row>
    <row r="61" ht="15.75" customHeight="1" s="18">
      <c r="A61" s="9" t="inlineStr">
        <is>
          <t>Colin Zabriskie</t>
        </is>
      </c>
      <c r="B61" s="10" t="n">
        <v>46126</v>
      </c>
      <c r="C61" s="10">
        <f>IF(B61="","",EDATE(B61,12*(DATEDIF(B61,TODAY(),"y")+1)))</f>
        <v/>
      </c>
      <c r="D61" s="11">
        <f>IF(AND(K61="",F61=""),"",IF(OR(AND(K61&lt;&gt;"",TODAY()-K61&gt;=14),AND(F61&lt;&gt;"",TODAY()-F61&gt;=21)),"Red",IF(OR(AND(K61&lt;&gt;"",TODAY()-K61&gt;=7),AND(C61&lt;&gt;"",C61-TODAY()&lt;=30)),"Yellow","Green")))</f>
        <v/>
      </c>
      <c r="E61" s="12">
        <f>IF(K61="","",TODAY()-K61)</f>
        <v/>
      </c>
      <c r="F61" s="10">
        <f>IFERROR(1/(1/MAXIFS(Touchpoints!$A:$A,Touchpoints!$B:$B,A61)),"")</f>
        <v/>
      </c>
      <c r="G61" s="11">
        <f>IF(F61="","",TODAY()-F61)</f>
        <v/>
      </c>
      <c r="H61" s="11" t="n"/>
      <c r="I61" s="11" t="n"/>
      <c r="J61" s="11" t="n"/>
      <c r="K61" s="17" t="n">
        <v>46311</v>
      </c>
      <c r="L61" s="0" t="inlineStr">
        <is>
          <t>M-0060</t>
        </is>
      </c>
      <c r="M61" s="0" t="inlineStr">
        <is>
          <t>none</t>
        </is>
      </c>
      <c r="R61" t="inlineStr">
        <is>
          <t>colin.zabriskie@example.com</t>
        </is>
      </c>
      <c r="S61" t="n">
        <v>5</v>
      </c>
      <c r="T61" t="inlineStr">
        <is>
          <t>yes</t>
        </is>
      </c>
    </row>
    <row r="62" ht="15.75" customHeight="1" s="18">
      <c r="A62" s="9" t="inlineStr">
        <is>
          <t>Raymond Elbridge</t>
        </is>
      </c>
      <c r="B62" s="10" t="n">
        <v>46127</v>
      </c>
      <c r="C62" s="10">
        <f>IF(B62="","",EDATE(B62,12*(DATEDIF(B62,TODAY(),"y")+1)))</f>
        <v/>
      </c>
      <c r="D62" s="11">
        <f>IF(AND(K62="",F62=""),"",IF(OR(AND(K62&lt;&gt;"",TODAY()-K62&gt;=14),AND(F62&lt;&gt;"",TODAY()-F62&gt;=21)),"Red",IF(OR(AND(K62&lt;&gt;"",TODAY()-K62&gt;=7),AND(C62&lt;&gt;"",C62-TODAY()&lt;=30)),"Yellow","Green")))</f>
        <v/>
      </c>
      <c r="E62" s="12">
        <f>IF(K62="","",TODAY()-K62)</f>
        <v/>
      </c>
      <c r="F62" s="10">
        <f>IFERROR(1/(1/MAXIFS(Touchpoints!$A:$A,Touchpoints!$B:$B,A62)),"")</f>
        <v/>
      </c>
      <c r="G62" s="11">
        <f>IF(F62="","",TODAY()-F62)</f>
        <v/>
      </c>
      <c r="H62" s="11" t="n"/>
      <c r="I62" s="11" t="n"/>
      <c r="J62" s="11" t="n"/>
      <c r="K62" s="17" t="n">
        <v>46310</v>
      </c>
      <c r="L62" s="0" t="inlineStr">
        <is>
          <t>M-0061</t>
        </is>
      </c>
      <c r="M62" s="0" t="inlineStr">
        <is>
          <t>none</t>
        </is>
      </c>
      <c r="R62" t="inlineStr">
        <is>
          <t>raymond.elbridge@example.com</t>
        </is>
      </c>
      <c r="S62" t="n">
        <v>1</v>
      </c>
      <c r="T62" t="inlineStr">
        <is>
          <t>yes</t>
        </is>
      </c>
    </row>
    <row r="63" ht="15.75" customHeight="1" s="18">
      <c r="A63" s="9" t="inlineStr">
        <is>
          <t>Julian Northgate</t>
        </is>
      </c>
      <c r="B63" s="10" t="n">
        <v>46129</v>
      </c>
      <c r="C63" s="10">
        <f>IF(B63="","",EDATE(B63,12*(DATEDIF(B63,TODAY(),"y")+1)))</f>
        <v/>
      </c>
      <c r="D63" s="11">
        <f>IF(AND(K63="",F63=""),"",IF(OR(AND(K63&lt;&gt;"",TODAY()-K63&gt;=14),AND(F63&lt;&gt;"",TODAY()-F63&gt;=21)),"Red",IF(OR(AND(K63&lt;&gt;"",TODAY()-K63&gt;=7),AND(C63&lt;&gt;"",C63-TODAY()&lt;=30)),"Yellow","Green")))</f>
        <v/>
      </c>
      <c r="E63" s="12">
        <f>IF(K63="","",TODAY()-K63)</f>
        <v/>
      </c>
      <c r="F63" s="10">
        <f>IFERROR(1/(1/MAXIFS(Touchpoints!$A:$A,Touchpoints!$B:$B,A63)),"")</f>
        <v/>
      </c>
      <c r="G63" s="11">
        <f>IF(F63="","",TODAY()-F63)</f>
        <v/>
      </c>
      <c r="H63" s="11" t="n"/>
      <c r="I63" s="11" t="n"/>
      <c r="J63" s="11" t="n"/>
      <c r="K63" s="17" t="n">
        <v>46310</v>
      </c>
      <c r="L63" s="0" t="inlineStr">
        <is>
          <t>M-0062</t>
        </is>
      </c>
      <c r="M63" s="0" t="inlineStr">
        <is>
          <t>none</t>
        </is>
      </c>
      <c r="R63" t="inlineStr">
        <is>
          <t>julian.northgate@example.com</t>
        </is>
      </c>
      <c r="S63" t="n">
        <v>0</v>
      </c>
      <c r="T63" t="inlineStr">
        <is>
          <t>no</t>
        </is>
      </c>
    </row>
    <row r="64" ht="15.75" customHeight="1" s="18">
      <c r="A64" s="9" t="inlineStr">
        <is>
          <t>Colin Thornbury</t>
        </is>
      </c>
      <c r="B64" s="10" t="n">
        <v>46130</v>
      </c>
      <c r="C64" s="10">
        <f>IF(B64="","",EDATE(B64,12*(DATEDIF(B64,TODAY(),"y")+1)))</f>
        <v/>
      </c>
      <c r="D64" s="11">
        <f>IF(AND(K64="",F64=""),"",IF(OR(AND(K64&lt;&gt;"",TODAY()-K64&gt;=14),AND(F64&lt;&gt;"",TODAY()-F64&gt;=21)),"Red",IF(OR(AND(K64&lt;&gt;"",TODAY()-K64&gt;=7),AND(C64&lt;&gt;"",C64-TODAY()&lt;=30)),"Yellow","Green")))</f>
        <v/>
      </c>
      <c r="E64" s="12">
        <f>IF(K64="","",TODAY()-K64)</f>
        <v/>
      </c>
      <c r="F64" s="10">
        <f>IFERROR(1/(1/MAXIFS(Touchpoints!$A:$A,Touchpoints!$B:$B,A64)),"")</f>
        <v/>
      </c>
      <c r="G64" s="11">
        <f>IF(F64="","",TODAY()-F64)</f>
        <v/>
      </c>
      <c r="H64" s="11" t="n"/>
      <c r="I64" s="11" t="n"/>
      <c r="J64" s="11" t="n"/>
      <c r="K64" s="17" t="n">
        <v>46311</v>
      </c>
      <c r="L64" s="0" t="inlineStr">
        <is>
          <t>M-0063</t>
        </is>
      </c>
      <c r="M64" s="0" t="inlineStr">
        <is>
          <t>none</t>
        </is>
      </c>
      <c r="R64" t="inlineStr">
        <is>
          <t>colin.thornbury@example.com</t>
        </is>
      </c>
      <c r="S64" t="n">
        <v>4</v>
      </c>
      <c r="T64" t="inlineStr">
        <is>
          <t>yes</t>
        </is>
      </c>
    </row>
    <row r="65" ht="15.75" customHeight="1" s="18">
      <c r="A65" s="9" t="inlineStr">
        <is>
          <t>Inigo Corbin</t>
        </is>
      </c>
      <c r="B65" s="10" t="n">
        <v>45766</v>
      </c>
      <c r="C65" s="10">
        <f>IF(B65="","",EDATE(B65,12*(DATEDIF(B65,TODAY(),"y")+1)))</f>
        <v/>
      </c>
      <c r="D65" s="11">
        <f>IF(AND(K65="",F65=""),"",IF(OR(AND(K65&lt;&gt;"",TODAY()-K65&gt;=14),AND(F65&lt;&gt;"",TODAY()-F65&gt;=21)),"Red",IF(OR(AND(K65&lt;&gt;"",TODAY()-K65&gt;=7),AND(C65&lt;&gt;"",C65-TODAY()&lt;=30)),"Yellow","Green")))</f>
        <v/>
      </c>
      <c r="E65" s="12">
        <f>IF(K65="","",TODAY()-K65)</f>
        <v/>
      </c>
      <c r="F65" s="10">
        <f>IFERROR(1/(1/MAXIFS(Touchpoints!$A:$A,Touchpoints!$B:$B,A65)),"")</f>
        <v/>
      </c>
      <c r="G65" s="11">
        <f>IF(F65="","",TODAY()-F65)</f>
        <v/>
      </c>
      <c r="H65" s="11" t="n"/>
      <c r="I65" s="11" t="n"/>
      <c r="J65" s="11" t="n"/>
      <c r="K65" s="17" t="n">
        <v>46310</v>
      </c>
      <c r="L65" s="0" t="inlineStr">
        <is>
          <t>M-0064</t>
        </is>
      </c>
      <c r="M65" s="0" t="inlineStr">
        <is>
          <t>none</t>
        </is>
      </c>
      <c r="R65" t="inlineStr">
        <is>
          <t>inigo.corbin@example.com</t>
        </is>
      </c>
      <c r="S65" t="n">
        <v>31</v>
      </c>
      <c r="T65" t="inlineStr">
        <is>
          <t>yes</t>
        </is>
      </c>
    </row>
    <row r="66" ht="15.75" customHeight="1" s="18">
      <c r="A66" s="9" t="inlineStr">
        <is>
          <t>Colin Winterbourne</t>
        </is>
      </c>
      <c r="B66" s="10" t="n">
        <v>46132</v>
      </c>
      <c r="C66" s="10">
        <f>IF(B66="","",EDATE(B66,12*(DATEDIF(B66,TODAY(),"y")+1)))</f>
        <v/>
      </c>
      <c r="D66" s="11">
        <f>IF(AND(K66="",F66=""),"",IF(OR(AND(K66&lt;&gt;"",TODAY()-K66&gt;=14),AND(F66&lt;&gt;"",TODAY()-F66&gt;=21)),"Red",IF(OR(AND(K66&lt;&gt;"",TODAY()-K66&gt;=7),AND(C66&lt;&gt;"",C66-TODAY()&lt;=30)),"Yellow","Green")))</f>
        <v/>
      </c>
      <c r="E66" s="12">
        <f>IF(K66="","",TODAY()-K66)</f>
        <v/>
      </c>
      <c r="F66" s="10">
        <f>IFERROR(1/(1/MAXIFS(Touchpoints!$A:$A,Touchpoints!$B:$B,A66)),"")</f>
        <v/>
      </c>
      <c r="G66" s="11">
        <f>IF(F66="","",TODAY()-F66)</f>
        <v/>
      </c>
      <c r="H66" s="11" t="inlineStr">
        <is>
          <t>post on LinkedIn twice a week</t>
        </is>
      </c>
      <c r="I66" s="11" t="n"/>
      <c r="J66" s="11" t="n"/>
      <c r="K66" s="17" t="n">
        <v>46249</v>
      </c>
      <c r="L66" s="0" t="inlineStr">
        <is>
          <t>M-0065</t>
        </is>
      </c>
      <c r="M66" s="0" t="inlineStr">
        <is>
          <t>none</t>
        </is>
      </c>
      <c r="R66" t="inlineStr">
        <is>
          <t>colin.winterbourne@example.com</t>
        </is>
      </c>
      <c r="S66" t="n">
        <v>26</v>
      </c>
      <c r="T66" t="inlineStr">
        <is>
          <t>yes</t>
        </is>
      </c>
    </row>
    <row r="67" ht="15.75" customHeight="1" s="18">
      <c r="A67" s="9" t="inlineStr">
        <is>
          <t>Kendrick Kessler</t>
        </is>
      </c>
      <c r="B67" s="10" t="n">
        <v>46138</v>
      </c>
      <c r="C67" s="10">
        <f>IF(B67="","",EDATE(B67,12*(DATEDIF(B67,TODAY(),"y")+1)))</f>
        <v/>
      </c>
      <c r="D67" s="11">
        <f>IF(AND(K67="",F67=""),"",IF(OR(AND(K67&lt;&gt;"",TODAY()-K67&gt;=14),AND(F67&lt;&gt;"",TODAY()-F67&gt;=21)),"Red",IF(OR(AND(K67&lt;&gt;"",TODAY()-K67&gt;=7),AND(C67&lt;&gt;"",C67-TODAY()&lt;=30)),"Yellow","Green")))</f>
        <v/>
      </c>
      <c r="E67" s="12">
        <f>IF(K67="","",TODAY()-K67)</f>
        <v/>
      </c>
      <c r="F67" s="10">
        <f>IFERROR(1/(1/MAXIFS(Touchpoints!$A:$A,Touchpoints!$B:$B,A67)),"")</f>
        <v/>
      </c>
      <c r="G67" s="11">
        <f>IF(F67="","",TODAY()-F67)</f>
        <v/>
      </c>
      <c r="H67" s="11" t="n"/>
      <c r="I67" s="11" t="n"/>
      <c r="J67" s="11" t="n"/>
      <c r="K67" s="17" t="n">
        <v>46311</v>
      </c>
      <c r="L67" s="0" t="inlineStr">
        <is>
          <t>M-0066</t>
        </is>
      </c>
      <c r="M67" s="0" t="inlineStr">
        <is>
          <t>none</t>
        </is>
      </c>
      <c r="R67" t="inlineStr">
        <is>
          <t>kendrick.kessler@example.com</t>
        </is>
      </c>
      <c r="S67" t="n">
        <v>37</v>
      </c>
      <c r="T67" t="inlineStr">
        <is>
          <t>yes</t>
        </is>
      </c>
    </row>
    <row r="68" ht="15.75" customHeight="1" s="18">
      <c r="A68" s="9" t="inlineStr">
        <is>
          <t>Peter Thornbury</t>
        </is>
      </c>
      <c r="B68" s="10" t="n">
        <v>45774</v>
      </c>
      <c r="C68" s="10">
        <f>IF(B68="","",EDATE(B68,12*(DATEDIF(B68,TODAY(),"y")+1)))</f>
        <v/>
      </c>
      <c r="D68" s="11">
        <f>IF(AND(K68="",F68=""),"",IF(OR(AND(K68&lt;&gt;"",TODAY()-K68&gt;=14),AND(F68&lt;&gt;"",TODAY()-F68&gt;=21)),"Red",IF(OR(AND(K68&lt;&gt;"",TODAY()-K68&gt;=7),AND(C68&lt;&gt;"",C68-TODAY()&lt;=30)),"Yellow","Green")))</f>
        <v/>
      </c>
      <c r="E68" s="12">
        <f>IF(K68="","",TODAY()-K68)</f>
        <v/>
      </c>
      <c r="F68" s="10">
        <f>IFERROR(1/(1/MAXIFS(Touchpoints!$A:$A,Touchpoints!$B:$B,A68)),"")</f>
        <v/>
      </c>
      <c r="G68" s="11">
        <f>IF(F68="","",TODAY()-F68)</f>
        <v/>
      </c>
      <c r="H68" s="11" t="n"/>
      <c r="I68" s="11" t="n"/>
      <c r="J68" s="11" t="n"/>
      <c r="K68" s="17" t="n">
        <v>46303</v>
      </c>
      <c r="L68" s="0" t="inlineStr">
        <is>
          <t>M-0067</t>
        </is>
      </c>
      <c r="M68" s="0" t="inlineStr">
        <is>
          <t>none</t>
        </is>
      </c>
      <c r="R68" t="inlineStr">
        <is>
          <t>peter.thornbury@example.com</t>
        </is>
      </c>
      <c r="S68" t="n">
        <v>13</v>
      </c>
      <c r="T68" t="inlineStr">
        <is>
          <t>yes</t>
        </is>
      </c>
    </row>
    <row r="69" ht="15.75" customHeight="1" s="18">
      <c r="A69" s="9" t="inlineStr">
        <is>
          <t>Emmett Wycliffe</t>
        </is>
      </c>
      <c r="B69" s="10" t="n">
        <v>46142</v>
      </c>
      <c r="C69" s="10">
        <f>IF(B69="","",EDATE(B69,12*(DATEDIF(B69,TODAY(),"y")+1)))</f>
        <v/>
      </c>
      <c r="D69" s="11">
        <f>IF(AND(K69="",F69=""),"",IF(OR(AND(K69&lt;&gt;"",TODAY()-K69&gt;=14),AND(F69&lt;&gt;"",TODAY()-F69&gt;=21)),"Red",IF(OR(AND(K69&lt;&gt;"",TODAY()-K69&gt;=7),AND(C69&lt;&gt;"",C69-TODAY()&lt;=30)),"Yellow","Green")))</f>
        <v/>
      </c>
      <c r="E69" s="12">
        <f>IF(K69="","",TODAY()-K69)</f>
        <v/>
      </c>
      <c r="F69" s="10">
        <f>IFERROR(1/(1/MAXIFS(Touchpoints!$A:$A,Touchpoints!$B:$B,A69)),"")</f>
        <v/>
      </c>
      <c r="G69" s="11">
        <f>IF(F69="","",TODAY()-F69)</f>
        <v/>
      </c>
      <c r="H69" s="11" t="n"/>
      <c r="I69" s="11" t="n"/>
      <c r="J69" s="11" t="n"/>
      <c r="K69" s="17" t="n">
        <v>46268</v>
      </c>
      <c r="L69" s="0" t="inlineStr">
        <is>
          <t>M-0068</t>
        </is>
      </c>
      <c r="M69" s="0" t="inlineStr">
        <is>
          <t>none</t>
        </is>
      </c>
      <c r="R69" t="inlineStr">
        <is>
          <t>emmett.wycliffe@example.com</t>
        </is>
      </c>
      <c r="S69" t="n">
        <v>18</v>
      </c>
      <c r="T69" t="inlineStr">
        <is>
          <t>yes</t>
        </is>
      </c>
    </row>
    <row r="70" ht="15.75" customHeight="1" s="18">
      <c r="A70" s="9" t="inlineStr">
        <is>
          <t>Hugo Ridgeway</t>
        </is>
      </c>
      <c r="B70" s="10" t="n">
        <v>46145</v>
      </c>
      <c r="C70" s="10">
        <f>IF(B70="","",EDATE(B70,12*(DATEDIF(B70,TODAY(),"y")+1)))</f>
        <v/>
      </c>
      <c r="D70" s="11">
        <f>IF(AND(K70="",F70=""),"",IF(OR(AND(K70&lt;&gt;"",TODAY()-K70&gt;=14),AND(F70&lt;&gt;"",TODAY()-F70&gt;=21)),"Red",IF(OR(AND(K70&lt;&gt;"",TODAY()-K70&gt;=7),AND(C70&lt;&gt;"",C70-TODAY()&lt;=30)),"Yellow","Green")))</f>
        <v/>
      </c>
      <c r="E70" s="12">
        <f>IF(K70="","",TODAY()-K70)</f>
        <v/>
      </c>
      <c r="F70" s="10">
        <f>IFERROR(1/(1/MAXIFS(Touchpoints!$A:$A,Touchpoints!$B:$B,A70)),"")</f>
        <v/>
      </c>
      <c r="G70" s="11">
        <f>IF(F70="","",TODAY()-F70)</f>
        <v/>
      </c>
      <c r="H70" s="11" t="n"/>
      <c r="I70" s="11" t="n"/>
      <c r="J70" s="11" t="n"/>
      <c r="K70" s="17" t="n">
        <v>46311</v>
      </c>
      <c r="L70" s="0" t="inlineStr">
        <is>
          <t>M-0069</t>
        </is>
      </c>
      <c r="M70" s="0" t="inlineStr">
        <is>
          <t>none</t>
        </is>
      </c>
      <c r="R70" t="inlineStr">
        <is>
          <t>hugo.ridgeway@example.com</t>
        </is>
      </c>
      <c r="S70" t="n">
        <v>20</v>
      </c>
      <c r="T70" t="inlineStr">
        <is>
          <t>yes</t>
        </is>
      </c>
    </row>
    <row r="71" ht="15.75" customHeight="1" s="18">
      <c r="A71" s="9" t="inlineStr">
        <is>
          <t>Levi Quimby</t>
        </is>
      </c>
      <c r="B71" s="10" t="n">
        <v>46145</v>
      </c>
      <c r="C71" s="10">
        <f>IF(B71="","",EDATE(B71,12*(DATEDIF(B71,TODAY(),"y")+1)))</f>
        <v/>
      </c>
      <c r="D71" s="11">
        <f>IF(AND(K71="",F71=""),"",IF(OR(AND(K71&lt;&gt;"",TODAY()-K71&gt;=14),AND(F71&lt;&gt;"",TODAY()-F71&gt;=21)),"Red",IF(OR(AND(K71&lt;&gt;"",TODAY()-K71&gt;=7),AND(C71&lt;&gt;"",C71-TODAY()&lt;=30)),"Yellow","Green")))</f>
        <v/>
      </c>
      <c r="E71" s="12">
        <f>IF(K71="","",TODAY()-K71)</f>
        <v/>
      </c>
      <c r="F71" s="10">
        <f>IFERROR(1/(1/MAXIFS(Touchpoints!$A:$A,Touchpoints!$B:$B,A71)),"")</f>
        <v/>
      </c>
      <c r="G71" s="11">
        <f>IF(F71="","",TODAY()-F71)</f>
        <v/>
      </c>
      <c r="H71" s="11" t="n"/>
      <c r="I71" s="11" t="n"/>
      <c r="J71" s="11" t="n"/>
      <c r="K71" s="17" t="n">
        <v>46311</v>
      </c>
      <c r="L71" s="0" t="inlineStr">
        <is>
          <t>M-0070</t>
        </is>
      </c>
      <c r="M71" s="0" t="inlineStr">
        <is>
          <t>none</t>
        </is>
      </c>
      <c r="R71" t="inlineStr">
        <is>
          <t>levi.quimby@example.com</t>
        </is>
      </c>
      <c r="S71" t="n">
        <v>27</v>
      </c>
      <c r="T71" t="inlineStr">
        <is>
          <t>yes</t>
        </is>
      </c>
    </row>
    <row r="72" ht="15.75" customHeight="1" s="18">
      <c r="A72" s="9" t="inlineStr">
        <is>
          <t>Hamish Oakeshott</t>
        </is>
      </c>
      <c r="B72" s="10" t="n">
        <v>45781</v>
      </c>
      <c r="C72" s="10">
        <f>IF(B72="","",EDATE(B72,12*(DATEDIF(B72,TODAY(),"y")+1)))</f>
        <v/>
      </c>
      <c r="D72" s="11">
        <f>IF(AND(K72="",F72=""),"",IF(OR(AND(K72&lt;&gt;"",TODAY()-K72&gt;=14),AND(F72&lt;&gt;"",TODAY()-F72&gt;=21)),"Red",IF(OR(AND(K72&lt;&gt;"",TODAY()-K72&gt;=7),AND(C72&lt;&gt;"",C72-TODAY()&lt;=30)),"Yellow","Green")))</f>
        <v/>
      </c>
      <c r="E72" s="12">
        <f>IF(K72="","",TODAY()-K72)</f>
        <v/>
      </c>
      <c r="F72" s="10">
        <f>IFERROR(1/(1/MAXIFS(Touchpoints!$A:$A,Touchpoints!$B:$B,A72)),"")</f>
        <v/>
      </c>
      <c r="G72" s="11">
        <f>IF(F72="","",TODAY()-F72)</f>
        <v/>
      </c>
      <c r="H72" s="11" t="n"/>
      <c r="I72" s="11" t="n"/>
      <c r="J72" s="11" t="n"/>
      <c r="K72" s="17" t="n">
        <v>46139</v>
      </c>
      <c r="L72" s="0" t="inlineStr">
        <is>
          <t>M-0071</t>
        </is>
      </c>
      <c r="M72" s="0" t="inlineStr">
        <is>
          <t>none</t>
        </is>
      </c>
      <c r="R72" t="inlineStr">
        <is>
          <t>hamish.oakeshott@example.com</t>
        </is>
      </c>
      <c r="S72" t="n">
        <v>8</v>
      </c>
      <c r="T72" t="inlineStr">
        <is>
          <t>yes</t>
        </is>
      </c>
    </row>
    <row r="73" ht="15.75" customHeight="1" s="18">
      <c r="A73" s="9" t="inlineStr">
        <is>
          <t>Quentin Lindqvist</t>
        </is>
      </c>
      <c r="B73" s="10" t="n">
        <v>46150</v>
      </c>
      <c r="C73" s="10">
        <f>IF(B73="","",EDATE(B73,12*(DATEDIF(B73,TODAY(),"y")+1)))</f>
        <v/>
      </c>
      <c r="D73" s="11">
        <f>IF(AND(K73="",F73=""),"",IF(OR(AND(K73&lt;&gt;"",TODAY()-K73&gt;=14),AND(F73&lt;&gt;"",TODAY()-F73&gt;=21)),"Red",IF(OR(AND(K73&lt;&gt;"",TODAY()-K73&gt;=7),AND(C73&lt;&gt;"",C73-TODAY()&lt;=30)),"Yellow","Green")))</f>
        <v/>
      </c>
      <c r="E73" s="12">
        <f>IF(K73="","",TODAY()-K73)</f>
        <v/>
      </c>
      <c r="F73" s="10">
        <f>IFERROR(1/(1/MAXIFS(Touchpoints!$A:$A,Touchpoints!$B:$B,A73)),"")</f>
        <v/>
      </c>
      <c r="G73" s="11">
        <f>IF(F73="","",TODAY()-F73)</f>
        <v/>
      </c>
      <c r="H73" s="11" t="n"/>
      <c r="I73" s="11" t="n"/>
      <c r="J73" s="11" t="n"/>
      <c r="K73" s="17" t="n">
        <v>46311</v>
      </c>
      <c r="L73" s="0" t="inlineStr">
        <is>
          <t>M-0072</t>
        </is>
      </c>
      <c r="M73" s="0" t="inlineStr">
        <is>
          <t>none</t>
        </is>
      </c>
      <c r="R73" t="inlineStr">
        <is>
          <t>quentin.lindqvist@example.com</t>
        </is>
      </c>
      <c r="S73" t="n">
        <v>0</v>
      </c>
      <c r="T73" t="inlineStr">
        <is>
          <t>no</t>
        </is>
      </c>
    </row>
    <row r="74" ht="15.75" customHeight="1" s="18">
      <c r="A74" s="9" t="inlineStr">
        <is>
          <t>Wallace Pemberton</t>
        </is>
      </c>
      <c r="B74" s="10" t="n">
        <v>46151</v>
      </c>
      <c r="C74" s="10">
        <f>IF(B74="","",EDATE(B74,12*(DATEDIF(B74,TODAY(),"y")+1)))</f>
        <v/>
      </c>
      <c r="D74" s="11">
        <f>IF(AND(K74="",F74=""),"",IF(OR(AND(K74&lt;&gt;"",TODAY()-K74&gt;=14),AND(F74&lt;&gt;"",TODAY()-F74&gt;=21)),"Red",IF(OR(AND(K74&lt;&gt;"",TODAY()-K74&gt;=7),AND(C74&lt;&gt;"",C74-TODAY()&lt;=30)),"Yellow","Green")))</f>
        <v/>
      </c>
      <c r="E74" s="12">
        <f>IF(K74="","",TODAY()-K74)</f>
        <v/>
      </c>
      <c r="F74" s="10">
        <f>IFERROR(1/(1/MAXIFS(Touchpoints!$A:$A,Touchpoints!$B:$B,A74)),"")</f>
        <v/>
      </c>
      <c r="G74" s="11">
        <f>IF(F74="","",TODAY()-F74)</f>
        <v/>
      </c>
      <c r="H74" s="11" t="inlineStr">
        <is>
          <t>run my first half marathon</t>
        </is>
      </c>
      <c r="I74" s="11" t="n"/>
      <c r="J74" s="11" t="n"/>
      <c r="K74" s="17" t="n">
        <v>46282</v>
      </c>
      <c r="L74" s="0" t="inlineStr">
        <is>
          <t>M-0073</t>
        </is>
      </c>
      <c r="M74" s="0" t="inlineStr">
        <is>
          <t>none</t>
        </is>
      </c>
      <c r="R74" t="inlineStr">
        <is>
          <t>wallace.pemberton@example.com</t>
        </is>
      </c>
      <c r="S74" t="n">
        <v>1</v>
      </c>
      <c r="T74" t="inlineStr">
        <is>
          <t>yes</t>
        </is>
      </c>
    </row>
    <row r="75" ht="15.75" customHeight="1" s="18">
      <c r="A75" s="9" t="inlineStr">
        <is>
          <t>Xavier Garrick</t>
        </is>
      </c>
      <c r="B75" s="10" t="n">
        <v>46151</v>
      </c>
      <c r="C75" s="10">
        <f>IF(B75="","",EDATE(B75,12*(DATEDIF(B75,TODAY(),"y")+1)))</f>
        <v/>
      </c>
      <c r="D75" s="11">
        <f>IF(AND(K75="",F75=""),"",IF(OR(AND(K75&lt;&gt;"",TODAY()-K75&gt;=14),AND(F75&lt;&gt;"",TODAY()-F75&gt;=21)),"Red",IF(OR(AND(K75&lt;&gt;"",TODAY()-K75&gt;=7),AND(C75&lt;&gt;"",C75-TODAY()&lt;=30)),"Yellow","Green")))</f>
        <v/>
      </c>
      <c r="E75" s="12">
        <f>IF(K75="","",TODAY()-K75)</f>
        <v/>
      </c>
      <c r="F75" s="10">
        <f>IFERROR(1/(1/MAXIFS(Touchpoints!$A:$A,Touchpoints!$B:$B,A75)),"")</f>
        <v/>
      </c>
      <c r="G75" s="11">
        <f>IF(F75="","",TODAY()-F75)</f>
        <v/>
      </c>
      <c r="H75" s="11" t="n"/>
      <c r="I75" s="11" t="n"/>
      <c r="J75" s="11" t="n"/>
      <c r="K75" s="17" t="n">
        <v>46307</v>
      </c>
      <c r="L75" s="0" t="inlineStr">
        <is>
          <t>M-0074</t>
        </is>
      </c>
      <c r="M75" s="0" t="inlineStr">
        <is>
          <t>none</t>
        </is>
      </c>
      <c r="R75" t="inlineStr">
        <is>
          <t>xavier.garrick@example.com</t>
        </is>
      </c>
      <c r="S75" t="n">
        <v>0</v>
      </c>
      <c r="T75" t="inlineStr">
        <is>
          <t>no</t>
        </is>
      </c>
    </row>
    <row r="76" ht="15.75" customHeight="1" s="18">
      <c r="A76" s="9" t="inlineStr">
        <is>
          <t>Marco Mowbray</t>
        </is>
      </c>
      <c r="B76" s="10" t="n">
        <v>46152</v>
      </c>
      <c r="C76" s="10">
        <f>IF(B76="","",EDATE(B76,12*(DATEDIF(B76,TODAY(),"y")+1)))</f>
        <v/>
      </c>
      <c r="D76" s="11">
        <f>IF(AND(K76="",F76=""),"",IF(OR(AND(K76&lt;&gt;"",TODAY()-K76&gt;=14),AND(F76&lt;&gt;"",TODAY()-F76&gt;=21)),"Red",IF(OR(AND(K76&lt;&gt;"",TODAY()-K76&gt;=7),AND(C76&lt;&gt;"",C76-TODAY()&lt;=30)),"Yellow","Green")))</f>
        <v/>
      </c>
      <c r="E76" s="12">
        <f>IF(K76="","",TODAY()-K76)</f>
        <v/>
      </c>
      <c r="F76" s="10">
        <f>IFERROR(1/(1/MAXIFS(Touchpoints!$A:$A,Touchpoints!$B:$B,A76)),"")</f>
        <v/>
      </c>
      <c r="G76" s="11">
        <f>IF(F76="","",TODAY()-F76)</f>
        <v/>
      </c>
      <c r="H76" s="11" t="n"/>
      <c r="I76" s="11" t="n"/>
      <c r="J76" s="11" t="n"/>
      <c r="K76" s="17" t="n">
        <v>46311</v>
      </c>
      <c r="L76" s="0" t="inlineStr">
        <is>
          <t>M-0075</t>
        </is>
      </c>
      <c r="M76" s="0" t="inlineStr">
        <is>
          <t>none</t>
        </is>
      </c>
      <c r="R76" t="inlineStr">
        <is>
          <t>marco.mowbray@example.com</t>
        </is>
      </c>
      <c r="S76" t="n">
        <v>12</v>
      </c>
      <c r="T76" t="inlineStr">
        <is>
          <t>yes</t>
        </is>
      </c>
    </row>
    <row r="77" ht="15.75" customHeight="1" s="18">
      <c r="A77" s="9" t="inlineStr">
        <is>
          <t>Terrence Islington</t>
        </is>
      </c>
      <c r="B77" s="10" t="n">
        <v>46152</v>
      </c>
      <c r="C77" s="10">
        <f>IF(B77="","",EDATE(B77,12*(DATEDIF(B77,TODAY(),"y")+1)))</f>
        <v/>
      </c>
      <c r="D77" s="11">
        <f>IF(AND(K77="",F77=""),"",IF(OR(AND(K77&lt;&gt;"",TODAY()-K77&gt;=14),AND(F77&lt;&gt;"",TODAY()-F77&gt;=21)),"Red",IF(OR(AND(K77&lt;&gt;"",TODAY()-K77&gt;=7),AND(C77&lt;&gt;"",C77-TODAY()&lt;=30)),"Yellow","Green")))</f>
        <v/>
      </c>
      <c r="E77" s="12">
        <f>IF(K77="","",TODAY()-K77)</f>
        <v/>
      </c>
      <c r="F77" s="10">
        <f>IFERROR(1/(1/MAXIFS(Touchpoints!$A:$A,Touchpoints!$B:$B,A77)),"")</f>
        <v/>
      </c>
      <c r="G77" s="11">
        <f>IF(F77="","",TODAY()-F77)</f>
        <v/>
      </c>
      <c r="H77" s="11" t="n"/>
      <c r="I77" s="11" t="n"/>
      <c r="J77" s="11" t="n"/>
      <c r="K77" s="17" t="n">
        <v>46311</v>
      </c>
      <c r="L77" s="0" t="inlineStr">
        <is>
          <t>M-0076</t>
        </is>
      </c>
      <c r="M77" s="0" t="inlineStr">
        <is>
          <t>none</t>
        </is>
      </c>
      <c r="R77" t="inlineStr">
        <is>
          <t>terrence.islington@example.com</t>
        </is>
      </c>
      <c r="S77" t="n">
        <v>13</v>
      </c>
      <c r="T77" t="inlineStr">
        <is>
          <t>yes</t>
        </is>
      </c>
    </row>
    <row r="78" ht="15.75" customHeight="1" s="18">
      <c r="A78" s="9" t="inlineStr">
        <is>
          <t>Peter Fairview</t>
        </is>
      </c>
      <c r="B78" s="10" t="n">
        <v>46155</v>
      </c>
      <c r="C78" s="10">
        <f>IF(B78="","",EDATE(B78,12*(DATEDIF(B78,TODAY(),"y")+1)))</f>
        <v/>
      </c>
      <c r="D78" s="11">
        <f>IF(AND(K78="",F78=""),"",IF(OR(AND(K78&lt;&gt;"",TODAY()-K78&gt;=14),AND(F78&lt;&gt;"",TODAY()-F78&gt;=21)),"Red",IF(OR(AND(K78&lt;&gt;"",TODAY()-K78&gt;=7),AND(C78&lt;&gt;"",C78-TODAY()&lt;=30)),"Yellow","Green")))</f>
        <v/>
      </c>
      <c r="E78" s="12">
        <f>IF(K78="","",TODAY()-K78)</f>
        <v/>
      </c>
      <c r="F78" s="10">
        <f>IFERROR(1/(1/MAXIFS(Touchpoints!$A:$A,Touchpoints!$B:$B,A78)),"")</f>
        <v/>
      </c>
      <c r="G78" s="11">
        <f>IF(F78="","",TODAY()-F78)</f>
        <v/>
      </c>
      <c r="H78" s="11" t="n"/>
      <c r="I78" s="11" t="n"/>
      <c r="J78" s="11" t="n"/>
      <c r="K78" s="17" t="n">
        <v>46311</v>
      </c>
      <c r="L78" s="0" t="inlineStr">
        <is>
          <t>M-0077</t>
        </is>
      </c>
      <c r="M78" s="0" t="inlineStr">
        <is>
          <t>none</t>
        </is>
      </c>
      <c r="R78" t="inlineStr">
        <is>
          <t>peter.fairview@example.com</t>
        </is>
      </c>
      <c r="S78" t="n">
        <v>13</v>
      </c>
      <c r="T78" t="inlineStr">
        <is>
          <t>yes</t>
        </is>
      </c>
    </row>
    <row r="79" ht="15.75" customHeight="1" s="18">
      <c r="A79" s="9" t="inlineStr">
        <is>
          <t>Enzo Pomeroy</t>
        </is>
      </c>
      <c r="B79" s="10" t="n">
        <v>46155</v>
      </c>
      <c r="C79" s="10">
        <f>IF(B79="","",EDATE(B79,12*(DATEDIF(B79,TODAY(),"y")+1)))</f>
        <v/>
      </c>
      <c r="D79" s="11">
        <f>IF(AND(K79="",F79=""),"",IF(OR(AND(K79&lt;&gt;"",TODAY()-K79&gt;=14),AND(F79&lt;&gt;"",TODAY()-F79&gt;=21)),"Red",IF(OR(AND(K79&lt;&gt;"",TODAY()-K79&gt;=7),AND(C79&lt;&gt;"",C79-TODAY()&lt;=30)),"Yellow","Green")))</f>
        <v/>
      </c>
      <c r="E79" s="12">
        <f>IF(K79="","",TODAY()-K79)</f>
        <v/>
      </c>
      <c r="F79" s="10">
        <f>IFERROR(1/(1/MAXIFS(Touchpoints!$A:$A,Touchpoints!$B:$B,A79)),"")</f>
        <v/>
      </c>
      <c r="G79" s="11">
        <f>IF(F79="","",TODAY()-F79)</f>
        <v/>
      </c>
      <c r="H79" s="11" t="inlineStr">
        <is>
          <t>get my side project to 100 users</t>
        </is>
      </c>
      <c r="I79" s="11" t="n"/>
      <c r="J79" s="11" t="n"/>
      <c r="K79" s="17" t="n">
        <v>46278</v>
      </c>
      <c r="L79" s="0" t="inlineStr">
        <is>
          <t>M-0078</t>
        </is>
      </c>
      <c r="M79" s="0" t="inlineStr">
        <is>
          <t>none</t>
        </is>
      </c>
      <c r="R79" t="inlineStr">
        <is>
          <t>enzo.pomeroy@example.com</t>
        </is>
      </c>
      <c r="S79" t="n">
        <v>9</v>
      </c>
      <c r="T79" t="inlineStr">
        <is>
          <t>yes</t>
        </is>
      </c>
    </row>
    <row r="80" ht="15.75" customHeight="1" s="18">
      <c r="A80" s="9" t="inlineStr">
        <is>
          <t>Callum Norwood</t>
        </is>
      </c>
      <c r="B80" s="10" t="n">
        <v>46156</v>
      </c>
      <c r="C80" s="10">
        <f>IF(B80="","",EDATE(B80,12*(DATEDIF(B80,TODAY(),"y")+1)))</f>
        <v/>
      </c>
      <c r="D80" s="11">
        <f>IF(AND(K80="",F80=""),"",IF(OR(AND(K80&lt;&gt;"",TODAY()-K80&gt;=14),AND(F80&lt;&gt;"",TODAY()-F80&gt;=21)),"Red",IF(OR(AND(K80&lt;&gt;"",TODAY()-K80&gt;=7),AND(C80&lt;&gt;"",C80-TODAY()&lt;=30)),"Yellow","Green")))</f>
        <v/>
      </c>
      <c r="E80" s="12">
        <f>IF(K80="","",TODAY()-K80)</f>
        <v/>
      </c>
      <c r="F80" s="10">
        <f>IFERROR(1/(1/MAXIFS(Touchpoints!$A:$A,Touchpoints!$B:$B,A80)),"")</f>
        <v/>
      </c>
      <c r="G80" s="11">
        <f>IF(F80="","",TODAY()-F80)</f>
        <v/>
      </c>
      <c r="H80" s="11" t="n"/>
      <c r="I80" s="11" t="n"/>
      <c r="J80" s="11" t="n"/>
      <c r="K80" s="17" t="n">
        <v>46311</v>
      </c>
      <c r="L80" s="0" t="inlineStr">
        <is>
          <t>M-0079</t>
        </is>
      </c>
      <c r="M80" s="0" t="inlineStr">
        <is>
          <t>none</t>
        </is>
      </c>
      <c r="R80" t="inlineStr">
        <is>
          <t>callum.norwood@example.com</t>
        </is>
      </c>
      <c r="S80" t="n">
        <v>25</v>
      </c>
      <c r="T80" t="inlineStr">
        <is>
          <t>yes</t>
        </is>
      </c>
    </row>
    <row r="81" ht="15.75" customHeight="1" s="18">
      <c r="A81" s="9" t="inlineStr">
        <is>
          <t>Tomas Kirkland</t>
        </is>
      </c>
      <c r="B81" s="10" t="n">
        <v>46158</v>
      </c>
      <c r="C81" s="10">
        <f>IF(B81="","",EDATE(B81,12*(DATEDIF(B81,TODAY(),"y")+1)))</f>
        <v/>
      </c>
      <c r="D81" s="11">
        <f>IF(AND(K81="",F81=""),"",IF(OR(AND(K81&lt;&gt;"",TODAY()-K81&gt;=14),AND(F81&lt;&gt;"",TODAY()-F81&gt;=21)),"Red",IF(OR(AND(K81&lt;&gt;"",TODAY()-K81&gt;=7),AND(C81&lt;&gt;"",C81-TODAY()&lt;=30)),"Yellow","Green")))</f>
        <v/>
      </c>
      <c r="E81" s="12">
        <f>IF(K81="","",TODAY()-K81)</f>
        <v/>
      </c>
      <c r="F81" s="10">
        <f>IFERROR(1/(1/MAXIFS(Touchpoints!$A:$A,Touchpoints!$B:$B,A81)),"")</f>
        <v/>
      </c>
      <c r="G81" s="11">
        <f>IF(F81="","",TODAY()-F81)</f>
        <v/>
      </c>
      <c r="H81" s="11" t="n"/>
      <c r="I81" s="11" t="n"/>
      <c r="J81" s="11" t="n"/>
      <c r="K81" s="17" t="n">
        <v>46311</v>
      </c>
      <c r="L81" s="0" t="inlineStr">
        <is>
          <t>M-0080</t>
        </is>
      </c>
      <c r="M81" s="0" t="inlineStr">
        <is>
          <t>none</t>
        </is>
      </c>
      <c r="R81" t="inlineStr">
        <is>
          <t>tomas.kirkland@example.com</t>
        </is>
      </c>
      <c r="S81" t="n">
        <v>0</v>
      </c>
      <c r="T81" t="inlineStr">
        <is>
          <t>no</t>
        </is>
      </c>
    </row>
    <row r="82" ht="15.75" customHeight="1" s="18">
      <c r="A82" s="9" t="inlineStr">
        <is>
          <t>Terrence Quimby</t>
        </is>
      </c>
      <c r="B82" s="10" t="n">
        <v>46158</v>
      </c>
      <c r="C82" s="10">
        <f>IF(B82="","",EDATE(B82,12*(DATEDIF(B82,TODAY(),"y")+1)))</f>
        <v/>
      </c>
      <c r="D82" s="11">
        <f>IF(AND(K82="",F82=""),"",IF(OR(AND(K82&lt;&gt;"",TODAY()-K82&gt;=14),AND(F82&lt;&gt;"",TODAY()-F82&gt;=21)),"Red",IF(OR(AND(K82&lt;&gt;"",TODAY()-K82&gt;=7),AND(C82&lt;&gt;"",C82-TODAY()&lt;=30)),"Yellow","Green")))</f>
        <v/>
      </c>
      <c r="E82" s="12">
        <f>IF(K82="","",TODAY()-K82)</f>
        <v/>
      </c>
      <c r="F82" s="10">
        <f>IFERROR(1/(1/MAXIFS(Touchpoints!$A:$A,Touchpoints!$B:$B,A82)),"")</f>
        <v/>
      </c>
      <c r="G82" s="11">
        <f>IF(F82="","",TODAY()-F82)</f>
        <v/>
      </c>
      <c r="H82" s="11" t="n"/>
      <c r="I82" s="11" t="n"/>
      <c r="J82" s="11" t="n"/>
      <c r="K82" s="17" t="n">
        <v>46296</v>
      </c>
      <c r="L82" s="0" t="inlineStr">
        <is>
          <t>M-0081</t>
        </is>
      </c>
      <c r="M82" s="0" t="inlineStr">
        <is>
          <t>none</t>
        </is>
      </c>
      <c r="R82" t="inlineStr">
        <is>
          <t>terrence.quimby@example.com</t>
        </is>
      </c>
      <c r="S82" t="n">
        <v>14</v>
      </c>
      <c r="T82" t="inlineStr">
        <is>
          <t>yes</t>
        </is>
      </c>
    </row>
    <row r="83" ht="15.75" customHeight="1" s="18">
      <c r="A83" s="9" t="inlineStr">
        <is>
          <t>Fraser Islington</t>
        </is>
      </c>
      <c r="B83" s="10" t="n">
        <v>46160</v>
      </c>
      <c r="C83" s="10">
        <f>IF(B83="","",EDATE(B83,12*(DATEDIF(B83,TODAY(),"y")+1)))</f>
        <v/>
      </c>
      <c r="D83" s="11">
        <f>IF(AND(K83="",F83=""),"",IF(OR(AND(K83&lt;&gt;"",TODAY()-K83&gt;=14),AND(F83&lt;&gt;"",TODAY()-F83&gt;=21)),"Red",IF(OR(AND(K83&lt;&gt;"",TODAY()-K83&gt;=7),AND(C83&lt;&gt;"",C83-TODAY()&lt;=30)),"Yellow","Green")))</f>
        <v/>
      </c>
      <c r="E83" s="12">
        <f>IF(K83="","",TODAY()-K83)</f>
        <v/>
      </c>
      <c r="F83" s="10">
        <f>IFERROR(1/(1/MAXIFS(Touchpoints!$A:$A,Touchpoints!$B:$B,A83)),"")</f>
        <v/>
      </c>
      <c r="G83" s="11">
        <f>IF(F83="","",TODAY()-F83)</f>
        <v/>
      </c>
      <c r="H83" s="11" t="n"/>
      <c r="I83" s="11" t="n"/>
      <c r="J83" s="11" t="n"/>
      <c r="K83" s="17" t="n">
        <v>46311</v>
      </c>
      <c r="L83" s="0" t="inlineStr">
        <is>
          <t>M-0082</t>
        </is>
      </c>
      <c r="M83" s="0" t="inlineStr">
        <is>
          <t>none</t>
        </is>
      </c>
      <c r="R83" t="inlineStr">
        <is>
          <t>fraser.islington@example.com</t>
        </is>
      </c>
      <c r="S83" t="n">
        <v>0</v>
      </c>
      <c r="T83" t="inlineStr">
        <is>
          <t>no</t>
        </is>
      </c>
    </row>
    <row r="84" ht="15.75" customHeight="1" s="18">
      <c r="A84" s="9" t="inlineStr">
        <is>
          <t>Julian Quimby</t>
        </is>
      </c>
      <c r="B84" s="10" t="n">
        <v>46160</v>
      </c>
      <c r="C84" s="10">
        <f>IF(B84="","",EDATE(B84,12*(DATEDIF(B84,TODAY(),"y")+1)))</f>
        <v/>
      </c>
      <c r="D84" s="11">
        <f>IF(AND(K84="",F84=""),"",IF(OR(AND(K84&lt;&gt;"",TODAY()-K84&gt;=14),AND(F84&lt;&gt;"",TODAY()-F84&gt;=21)),"Red",IF(OR(AND(K84&lt;&gt;"",TODAY()-K84&gt;=7),AND(C84&lt;&gt;"",C84-TODAY()&lt;=30)),"Yellow","Green")))</f>
        <v/>
      </c>
      <c r="E84" s="12">
        <f>IF(K84="","",TODAY()-K84)</f>
        <v/>
      </c>
      <c r="F84" s="10">
        <f>IFERROR(1/(1/MAXIFS(Touchpoints!$A:$A,Touchpoints!$B:$B,A84)),"")</f>
        <v/>
      </c>
      <c r="G84" s="11">
        <f>IF(F84="","",TODAY()-F84)</f>
        <v/>
      </c>
      <c r="H84" s="11" t="n"/>
      <c r="I84" s="11" t="n"/>
      <c r="J84" s="11" t="n"/>
      <c r="K84" s="17" t="n">
        <v>46310</v>
      </c>
      <c r="L84" s="0" t="inlineStr">
        <is>
          <t>M-0083</t>
        </is>
      </c>
      <c r="M84" s="0" t="inlineStr">
        <is>
          <t>none</t>
        </is>
      </c>
      <c r="R84" t="inlineStr">
        <is>
          <t>julian.quimby@example.com</t>
        </is>
      </c>
      <c r="S84" t="n">
        <v>38</v>
      </c>
      <c r="T84" t="inlineStr">
        <is>
          <t>yes</t>
        </is>
      </c>
    </row>
    <row r="85" ht="15.75" customHeight="1" s="18">
      <c r="A85" s="9" t="inlineStr">
        <is>
          <t>Mateo Fairbanks</t>
        </is>
      </c>
      <c r="B85" s="10" t="n">
        <v>46160</v>
      </c>
      <c r="C85" s="10">
        <f>IF(B85="","",EDATE(B85,12*(DATEDIF(B85,TODAY(),"y")+1)))</f>
        <v/>
      </c>
      <c r="D85" s="11">
        <f>IF(AND(K85="",F85=""),"",IF(OR(AND(K85&lt;&gt;"",TODAY()-K85&gt;=14),AND(F85&lt;&gt;"",TODAY()-F85&gt;=21)),"Red",IF(OR(AND(K85&lt;&gt;"",TODAY()-K85&gt;=7),AND(C85&lt;&gt;"",C85-TODAY()&lt;=30)),"Yellow","Green")))</f>
        <v/>
      </c>
      <c r="E85" s="12">
        <f>IF(K85="","",TODAY()-K85)</f>
        <v/>
      </c>
      <c r="F85" s="10">
        <f>IFERROR(1/(1/MAXIFS(Touchpoints!$A:$A,Touchpoints!$B:$B,A85)),"")</f>
        <v/>
      </c>
      <c r="G85" s="11">
        <f>IF(F85="","",TODAY()-F85)</f>
        <v/>
      </c>
      <c r="H85" s="11" t="inlineStr">
        <is>
          <t>build a morning routine and keep it for 90 days</t>
        </is>
      </c>
      <c r="I85" s="11" t="n"/>
      <c r="J85" s="11" t="n"/>
      <c r="K85" s="17" t="n">
        <v>46230</v>
      </c>
      <c r="L85" s="0" t="inlineStr">
        <is>
          <t>M-0084</t>
        </is>
      </c>
      <c r="M85" s="0" t="inlineStr">
        <is>
          <t>none</t>
        </is>
      </c>
      <c r="R85" t="inlineStr">
        <is>
          <t>mateo.fairbanks@example.com</t>
        </is>
      </c>
      <c r="S85" t="n">
        <v>2</v>
      </c>
      <c r="T85" t="inlineStr">
        <is>
          <t>yes</t>
        </is>
      </c>
    </row>
    <row r="86" ht="15.75" customHeight="1" s="18">
      <c r="A86" s="9" t="inlineStr">
        <is>
          <t>Fraser Sanderson</t>
        </is>
      </c>
      <c r="B86" s="10" t="n">
        <v>46161</v>
      </c>
      <c r="C86" s="10">
        <f>IF(B86="","",EDATE(B86,12*(DATEDIF(B86,TODAY(),"y")+1)))</f>
        <v/>
      </c>
      <c r="D86" s="11">
        <f>IF(AND(K86="",F86=""),"",IF(OR(AND(K86&lt;&gt;"",TODAY()-K86&gt;=14),AND(F86&lt;&gt;"",TODAY()-F86&gt;=21)),"Red",IF(OR(AND(K86&lt;&gt;"",TODAY()-K86&gt;=7),AND(C86&lt;&gt;"",C86-TODAY()&lt;=30)),"Yellow","Green")))</f>
        <v/>
      </c>
      <c r="E86" s="12">
        <f>IF(K86="","",TODAY()-K86)</f>
        <v/>
      </c>
      <c r="F86" s="10">
        <f>IFERROR(1/(1/MAXIFS(Touchpoints!$A:$A,Touchpoints!$B:$B,A86)),"")</f>
        <v/>
      </c>
      <c r="G86" s="11">
        <f>IF(F86="","",TODAY()-F86)</f>
        <v/>
      </c>
      <c r="H86" s="11" t="n"/>
      <c r="I86" s="11" t="n"/>
      <c r="J86" s="11" t="n"/>
      <c r="K86" s="17" t="n">
        <v>46311</v>
      </c>
      <c r="L86" s="0" t="inlineStr">
        <is>
          <t>M-0085</t>
        </is>
      </c>
      <c r="M86" s="0" t="inlineStr">
        <is>
          <t>none</t>
        </is>
      </c>
      <c r="R86" t="inlineStr">
        <is>
          <t>fraser.sanderson@example.com</t>
        </is>
      </c>
      <c r="S86" t="n">
        <v>0</v>
      </c>
      <c r="T86" t="inlineStr">
        <is>
          <t>no</t>
        </is>
      </c>
    </row>
    <row r="87" ht="15.75" customHeight="1" s="18">
      <c r="A87" s="9" t="inlineStr">
        <is>
          <t>Fraser Ironside</t>
        </is>
      </c>
      <c r="B87" s="10" t="n">
        <v>46171</v>
      </c>
      <c r="C87" s="10">
        <f>IF(B87="","",EDATE(B87,12*(DATEDIF(B87,TODAY(),"y")+1)))</f>
        <v/>
      </c>
      <c r="D87" s="11">
        <f>IF(AND(K87="",F87=""),"",IF(OR(AND(K87&lt;&gt;"",TODAY()-K87&gt;=14),AND(F87&lt;&gt;"",TODAY()-F87&gt;=21)),"Red",IF(OR(AND(K87&lt;&gt;"",TODAY()-K87&gt;=7),AND(C87&lt;&gt;"",C87-TODAY()&lt;=30)),"Yellow","Green")))</f>
        <v/>
      </c>
      <c r="E87" s="12">
        <f>IF(K87="","",TODAY()-K87)</f>
        <v/>
      </c>
      <c r="F87" s="10">
        <f>IFERROR(1/(1/MAXIFS(Touchpoints!$A:$A,Touchpoints!$B:$B,A87)),"")</f>
        <v/>
      </c>
      <c r="G87" s="11">
        <f>IF(F87="","",TODAY()-F87)</f>
        <v/>
      </c>
      <c r="H87" s="11" t="n"/>
      <c r="I87" s="11" t="n"/>
      <c r="J87" s="11" t="n"/>
      <c r="K87" s="17" t="n">
        <v>46289</v>
      </c>
      <c r="L87" s="0" t="inlineStr">
        <is>
          <t>M-0086</t>
        </is>
      </c>
      <c r="M87" s="0" t="inlineStr">
        <is>
          <t>none</t>
        </is>
      </c>
      <c r="R87" t="inlineStr">
        <is>
          <t>fraser.ironside@example.com</t>
        </is>
      </c>
      <c r="S87" t="n">
        <v>39</v>
      </c>
      <c r="T87" t="inlineStr">
        <is>
          <t>yes</t>
        </is>
      </c>
    </row>
    <row r="88" ht="15.75" customHeight="1" s="18">
      <c r="A88" s="9" t="inlineStr">
        <is>
          <t>Wallace Clayborne</t>
        </is>
      </c>
      <c r="B88" s="10" t="n">
        <v>45808</v>
      </c>
      <c r="C88" s="10">
        <f>IF(B88="","",EDATE(B88,12*(DATEDIF(B88,TODAY(),"y")+1)))</f>
        <v/>
      </c>
      <c r="D88" s="11">
        <f>IF(AND(K88="",F88=""),"",IF(OR(AND(K88&lt;&gt;"",TODAY()-K88&gt;=14),AND(F88&lt;&gt;"",TODAY()-F88&gt;=21)),"Red",IF(OR(AND(K88&lt;&gt;"",TODAY()-K88&gt;=7),AND(C88&lt;&gt;"",C88-TODAY()&lt;=30)),"Yellow","Green")))</f>
        <v/>
      </c>
      <c r="E88" s="12">
        <f>IF(K88="","",TODAY()-K88)</f>
        <v/>
      </c>
      <c r="F88" s="10">
        <f>IFERROR(1/(1/MAXIFS(Touchpoints!$A:$A,Touchpoints!$B:$B,A88)),"")</f>
        <v/>
      </c>
      <c r="G88" s="11">
        <f>IF(F88="","",TODAY()-F88)</f>
        <v/>
      </c>
      <c r="H88" s="11" t="n"/>
      <c r="I88" s="11" t="n"/>
      <c r="J88" s="11" t="n"/>
      <c r="K88" s="17" t="n">
        <v>46311</v>
      </c>
      <c r="L88" s="0" t="inlineStr">
        <is>
          <t>M-0087</t>
        </is>
      </c>
      <c r="M88" s="0" t="inlineStr">
        <is>
          <t>none</t>
        </is>
      </c>
      <c r="R88" t="inlineStr">
        <is>
          <t>wallace.clayborne@example.com</t>
        </is>
      </c>
      <c r="S88" t="n">
        <v>37</v>
      </c>
      <c r="T88" t="inlineStr">
        <is>
          <t>yes</t>
        </is>
      </c>
    </row>
    <row r="89" ht="15.75" customHeight="1" s="18">
      <c r="A89" s="9" t="inlineStr">
        <is>
          <t>Andre Zeigler</t>
        </is>
      </c>
      <c r="B89" s="10" t="n">
        <v>45808</v>
      </c>
      <c r="C89" s="10">
        <f>IF(B89="","",EDATE(B89,12*(DATEDIF(B89,TODAY(),"y")+1)))</f>
        <v/>
      </c>
      <c r="D89" s="11">
        <f>IF(AND(K89="",F89=""),"",IF(OR(AND(K89&lt;&gt;"",TODAY()-K89&gt;=14),AND(F89&lt;&gt;"",TODAY()-F89&gt;=21)),"Red",IF(OR(AND(K89&lt;&gt;"",TODAY()-K89&gt;=7),AND(C89&lt;&gt;"",C89-TODAY()&lt;=30)),"Yellow","Green")))</f>
        <v/>
      </c>
      <c r="E89" s="12">
        <f>IF(K89="","",TODAY()-K89)</f>
        <v/>
      </c>
      <c r="F89" s="10">
        <f>IFERROR(1/(1/MAXIFS(Touchpoints!$A:$A,Touchpoints!$B:$B,A89)),"")</f>
        <v/>
      </c>
      <c r="G89" s="11">
        <f>IF(F89="","",TODAY()-F89)</f>
        <v/>
      </c>
      <c r="H89" s="11" t="n"/>
      <c r="I89" s="11" t="n"/>
      <c r="J89" s="11" t="n"/>
      <c r="K89" s="17" t="n">
        <v>46304</v>
      </c>
      <c r="L89" s="0" t="inlineStr">
        <is>
          <t>M-0088</t>
        </is>
      </c>
      <c r="M89" s="0" t="inlineStr">
        <is>
          <t>none</t>
        </is>
      </c>
      <c r="R89" t="inlineStr">
        <is>
          <t>andre.zeigler@example.com</t>
        </is>
      </c>
      <c r="S89" t="n">
        <v>7</v>
      </c>
      <c r="T89" t="inlineStr">
        <is>
          <t>yes</t>
        </is>
      </c>
    </row>
    <row r="90" ht="15.75" customHeight="1" s="18">
      <c r="A90" s="9" t="inlineStr">
        <is>
          <t>Duncan Ironside</t>
        </is>
      </c>
      <c r="B90" s="10" t="n">
        <v>46174</v>
      </c>
      <c r="C90" s="10">
        <f>IF(B90="","",EDATE(B90,12*(DATEDIF(B90,TODAY(),"y")+1)))</f>
        <v/>
      </c>
      <c r="D90" s="11">
        <f>IF(AND(K90="",F90=""),"",IF(OR(AND(K90&lt;&gt;"",TODAY()-K90&gt;=14),AND(F90&lt;&gt;"",TODAY()-F90&gt;=21)),"Red",IF(OR(AND(K90&lt;&gt;"",TODAY()-K90&gt;=7),AND(C90&lt;&gt;"",C90-TODAY()&lt;=30)),"Yellow","Green")))</f>
        <v/>
      </c>
      <c r="E90" s="12">
        <f>IF(K90="","",TODAY()-K90)</f>
        <v/>
      </c>
      <c r="F90" s="10">
        <f>IFERROR(1/(1/MAXIFS(Touchpoints!$A:$A,Touchpoints!$B:$B,A90)),"")</f>
        <v/>
      </c>
      <c r="G90" s="11">
        <f>IF(F90="","",TODAY()-F90)</f>
        <v/>
      </c>
      <c r="H90" s="11" t="n"/>
      <c r="I90" s="11" t="n"/>
      <c r="J90" s="11" t="n"/>
      <c r="K90" s="17" t="n">
        <v>46299</v>
      </c>
      <c r="L90" s="0" t="inlineStr">
        <is>
          <t>M-0089</t>
        </is>
      </c>
      <c r="M90" s="0" t="inlineStr">
        <is>
          <t>none</t>
        </is>
      </c>
      <c r="R90" t="inlineStr">
        <is>
          <t>duncan.ironside@example.com</t>
        </is>
      </c>
      <c r="S90" t="n">
        <v>0</v>
      </c>
      <c r="T90" t="inlineStr">
        <is>
          <t>no</t>
        </is>
      </c>
    </row>
    <row r="91" ht="15.75" customHeight="1" s="18">
      <c r="A91" s="9" t="inlineStr">
        <is>
          <t>Julian Waverly</t>
        </is>
      </c>
      <c r="B91" s="10" t="n">
        <v>46175</v>
      </c>
      <c r="C91" s="10">
        <f>IF(B91="","",EDATE(B91,12*(DATEDIF(B91,TODAY(),"y")+1)))</f>
        <v/>
      </c>
      <c r="D91" s="11">
        <f>IF(AND(K91="",F91=""),"",IF(OR(AND(K91&lt;&gt;"",TODAY()-K91&gt;=14),AND(F91&lt;&gt;"",TODAY()-F91&gt;=21)),"Red",IF(OR(AND(K91&lt;&gt;"",TODAY()-K91&gt;=7),AND(C91&lt;&gt;"",C91-TODAY()&lt;=30)),"Yellow","Green")))</f>
        <v/>
      </c>
      <c r="E91" s="12">
        <f>IF(K91="","",TODAY()-K91)</f>
        <v/>
      </c>
      <c r="F91" s="10">
        <f>IFERROR(1/(1/MAXIFS(Touchpoints!$A:$A,Touchpoints!$B:$B,A91)),"")</f>
        <v/>
      </c>
      <c r="G91" s="11">
        <f>IF(F91="","",TODAY()-F91)</f>
        <v/>
      </c>
      <c r="H91" s="11" t="n"/>
      <c r="I91" s="11" t="n"/>
      <c r="J91" s="11" t="n"/>
      <c r="K91" s="17" t="n">
        <v>46311</v>
      </c>
      <c r="L91" s="0" t="inlineStr">
        <is>
          <t>M-0090</t>
        </is>
      </c>
      <c r="M91" s="0" t="inlineStr">
        <is>
          <t>none</t>
        </is>
      </c>
      <c r="R91" t="inlineStr">
        <is>
          <t>julian.waverly@example.com</t>
        </is>
      </c>
      <c r="S91" t="n">
        <v>0</v>
      </c>
      <c r="T91" t="inlineStr">
        <is>
          <t>no</t>
        </is>
      </c>
    </row>
    <row r="92" ht="15.75" customHeight="1" s="18">
      <c r="A92" s="9" t="inlineStr">
        <is>
          <t>Silas Hawthorne</t>
        </is>
      </c>
      <c r="B92" s="10" t="n">
        <v>46178</v>
      </c>
      <c r="C92" s="10">
        <f>IF(B92="","",EDATE(B92,12*(DATEDIF(B92,TODAY(),"y")+1)))</f>
        <v/>
      </c>
      <c r="D92" s="11">
        <f>IF(AND(K92="",F92=""),"",IF(OR(AND(K92&lt;&gt;"",TODAY()-K92&gt;=14),AND(F92&lt;&gt;"",TODAY()-F92&gt;=21)),"Red",IF(OR(AND(K92&lt;&gt;"",TODAY()-K92&gt;=7),AND(C92&lt;&gt;"",C92-TODAY()&lt;=30)),"Yellow","Green")))</f>
        <v/>
      </c>
      <c r="E92" s="12">
        <f>IF(K92="","",TODAY()-K92)</f>
        <v/>
      </c>
      <c r="F92" s="10">
        <f>IFERROR(1/(1/MAXIFS(Touchpoints!$A:$A,Touchpoints!$B:$B,A92)),"")</f>
        <v/>
      </c>
      <c r="G92" s="11">
        <f>IF(F92="","",TODAY()-F92)</f>
        <v/>
      </c>
      <c r="H92" s="11" t="n"/>
      <c r="I92" s="11" t="n"/>
      <c r="J92" s="11" t="n"/>
      <c r="K92" s="17" t="n">
        <v>46302</v>
      </c>
      <c r="L92" s="0" t="inlineStr">
        <is>
          <t>M-0091</t>
        </is>
      </c>
      <c r="M92" s="0" t="inlineStr">
        <is>
          <t>none</t>
        </is>
      </c>
      <c r="R92" t="inlineStr">
        <is>
          <t>silas.hawthorne@example.com</t>
        </is>
      </c>
      <c r="S92" t="n">
        <v>1</v>
      </c>
      <c r="T92" t="inlineStr">
        <is>
          <t>yes</t>
        </is>
      </c>
    </row>
    <row r="93" ht="15.75" customHeight="1" s="18">
      <c r="A93" s="9" t="inlineStr">
        <is>
          <t>Nathan Pemberton</t>
        </is>
      </c>
      <c r="B93" s="10" t="n">
        <v>46179</v>
      </c>
      <c r="C93" s="10">
        <f>IF(B93="","",EDATE(B93,12*(DATEDIF(B93,TODAY(),"y")+1)))</f>
        <v/>
      </c>
      <c r="D93" s="11">
        <f>IF(AND(K93="",F93=""),"",IF(OR(AND(K93&lt;&gt;"",TODAY()-K93&gt;=14),AND(F93&lt;&gt;"",TODAY()-F93&gt;=21)),"Red",IF(OR(AND(K93&lt;&gt;"",TODAY()-K93&gt;=7),AND(C93&lt;&gt;"",C93-TODAY()&lt;=30)),"Yellow","Green")))</f>
        <v/>
      </c>
      <c r="E93" s="12">
        <f>IF(K93="","",TODAY()-K93)</f>
        <v/>
      </c>
      <c r="F93" s="10">
        <f>IFERROR(1/(1/MAXIFS(Touchpoints!$A:$A,Touchpoints!$B:$B,A93)),"")</f>
        <v/>
      </c>
      <c r="G93" s="11">
        <f>IF(F93="","",TODAY()-F93)</f>
        <v/>
      </c>
      <c r="H93" s="11" t="n"/>
      <c r="I93" s="11" t="n"/>
      <c r="J93" s="11" t="n"/>
      <c r="K93" s="17" t="n">
        <v>46282</v>
      </c>
      <c r="L93" s="0" t="inlineStr">
        <is>
          <t>M-0092</t>
        </is>
      </c>
      <c r="M93" s="0" t="inlineStr">
        <is>
          <t>none</t>
        </is>
      </c>
      <c r="R93" t="inlineStr">
        <is>
          <t>nathan.pemberton@example.com</t>
        </is>
      </c>
      <c r="S93" t="n">
        <v>22</v>
      </c>
      <c r="T93" t="inlineStr">
        <is>
          <t>yes</t>
        </is>
      </c>
    </row>
    <row r="94" ht="15.75" customHeight="1" s="18">
      <c r="A94" s="9" t="inlineStr">
        <is>
          <t>Paolo Sanderson</t>
        </is>
      </c>
      <c r="B94" s="10" t="n">
        <v>45816</v>
      </c>
      <c r="C94" s="10">
        <f>IF(B94="","",EDATE(B94,12*(DATEDIF(B94,TODAY(),"y")+1)))</f>
        <v/>
      </c>
      <c r="D94" s="11">
        <f>IF(AND(K94="",F94=""),"",IF(OR(AND(K94&lt;&gt;"",TODAY()-K94&gt;=14),AND(F94&lt;&gt;"",TODAY()-F94&gt;=21)),"Red",IF(OR(AND(K94&lt;&gt;"",TODAY()-K94&gt;=7),AND(C94&lt;&gt;"",C94-TODAY()&lt;=30)),"Yellow","Green")))</f>
        <v/>
      </c>
      <c r="E94" s="12">
        <f>IF(K94="","",TODAY()-K94)</f>
        <v/>
      </c>
      <c r="F94" s="10">
        <f>IFERROR(1/(1/MAXIFS(Touchpoints!$A:$A,Touchpoints!$B:$B,A94)),"")</f>
        <v/>
      </c>
      <c r="G94" s="11">
        <f>IF(F94="","",TODAY()-F94)</f>
        <v/>
      </c>
      <c r="H94" s="11" t="n"/>
      <c r="I94" s="11" t="n"/>
      <c r="J94" s="11" t="n"/>
      <c r="K94" s="17" t="n">
        <v>46310</v>
      </c>
      <c r="L94" s="0" t="inlineStr">
        <is>
          <t>M-0093</t>
        </is>
      </c>
      <c r="M94" s="0" t="inlineStr">
        <is>
          <t>none</t>
        </is>
      </c>
      <c r="R94" t="inlineStr">
        <is>
          <t>paolo.sanderson@example.com</t>
        </is>
      </c>
      <c r="S94" t="n">
        <v>19</v>
      </c>
      <c r="T94" t="inlineStr">
        <is>
          <t>yes</t>
        </is>
      </c>
    </row>
    <row r="95" ht="15.75" customHeight="1" s="18">
      <c r="A95" s="9" t="inlineStr">
        <is>
          <t>Emmett Sinclair</t>
        </is>
      </c>
      <c r="B95" s="10" t="n">
        <v>46184</v>
      </c>
      <c r="C95" s="10">
        <f>IF(B95="","",EDATE(B95,12*(DATEDIF(B95,TODAY(),"y")+1)))</f>
        <v/>
      </c>
      <c r="D95" s="11">
        <f>IF(AND(K95="",F95=""),"",IF(OR(AND(K95&lt;&gt;"",TODAY()-K95&gt;=14),AND(F95&lt;&gt;"",TODAY()-F95&gt;=21)),"Red",IF(OR(AND(K95&lt;&gt;"",TODAY()-K95&gt;=7),AND(C95&lt;&gt;"",C95-TODAY()&lt;=30)),"Yellow","Green")))</f>
        <v/>
      </c>
      <c r="E95" s="12">
        <f>IF(K95="","",TODAY()-K95)</f>
        <v/>
      </c>
      <c r="F95" s="10">
        <f>IFERROR(1/(1/MAXIFS(Touchpoints!$A:$A,Touchpoints!$B:$B,A95)),"")</f>
        <v/>
      </c>
      <c r="G95" s="11">
        <f>IF(F95="","",TODAY()-F95)</f>
        <v/>
      </c>
      <c r="H95" s="11" t="n"/>
      <c r="I95" s="11" t="n"/>
      <c r="J95" s="11" t="n"/>
      <c r="K95" s="17" t="n">
        <v>46233</v>
      </c>
      <c r="L95" s="0" t="inlineStr">
        <is>
          <t>M-0094</t>
        </is>
      </c>
      <c r="M95" s="0" t="inlineStr">
        <is>
          <t>none</t>
        </is>
      </c>
      <c r="R95" t="inlineStr">
        <is>
          <t>emmett.sinclair@example.com</t>
        </is>
      </c>
      <c r="S95" t="n">
        <v>5</v>
      </c>
      <c r="T95" t="inlineStr">
        <is>
          <t>yes</t>
        </is>
      </c>
    </row>
    <row r="96" ht="15.75" customHeight="1" s="18">
      <c r="A96" s="9" t="inlineStr">
        <is>
          <t>Clifford Cranfield</t>
        </is>
      </c>
      <c r="B96" s="10" t="n">
        <v>46185</v>
      </c>
      <c r="C96" s="10">
        <f>IF(B96="","",EDATE(B96,12*(DATEDIF(B96,TODAY(),"y")+1)))</f>
        <v/>
      </c>
      <c r="D96" s="11">
        <f>IF(AND(K96="",F96=""),"",IF(OR(AND(K96&lt;&gt;"",TODAY()-K96&gt;=14),AND(F96&lt;&gt;"",TODAY()-F96&gt;=21)),"Red",IF(OR(AND(K96&lt;&gt;"",TODAY()-K96&gt;=7),AND(C96&lt;&gt;"",C96-TODAY()&lt;=30)),"Yellow","Green")))</f>
        <v/>
      </c>
      <c r="E96" s="12">
        <f>IF(K96="","",TODAY()-K96)</f>
        <v/>
      </c>
      <c r="F96" s="10">
        <f>IFERROR(1/(1/MAXIFS(Touchpoints!$A:$A,Touchpoints!$B:$B,A96)),"")</f>
        <v/>
      </c>
      <c r="G96" s="11">
        <f>IF(F96="","",TODAY()-F96)</f>
        <v/>
      </c>
      <c r="H96" s="11" t="n"/>
      <c r="I96" s="11" t="n"/>
      <c r="J96" s="11" t="n"/>
      <c r="K96" s="17" t="n">
        <v>46311</v>
      </c>
      <c r="L96" s="0" t="inlineStr">
        <is>
          <t>M-0095</t>
        </is>
      </c>
      <c r="M96" s="0" t="inlineStr">
        <is>
          <t>none</t>
        </is>
      </c>
      <c r="R96" t="inlineStr">
        <is>
          <t>clifford.cranfield@example.com</t>
        </is>
      </c>
      <c r="S96" t="n">
        <v>0</v>
      </c>
      <c r="T96" t="inlineStr">
        <is>
          <t>no</t>
        </is>
      </c>
    </row>
    <row r="97" ht="15.75" customHeight="1" s="18">
      <c r="A97" s="9" t="inlineStr">
        <is>
          <t>Marcus Radcliffe</t>
        </is>
      </c>
      <c r="B97" s="10" t="n">
        <v>46188</v>
      </c>
      <c r="C97" s="10">
        <f>IF(B97="","",EDATE(B97,12*(DATEDIF(B97,TODAY(),"y")+1)))</f>
        <v/>
      </c>
      <c r="D97" s="11">
        <f>IF(AND(K97="",F97=""),"",IF(OR(AND(K97&lt;&gt;"",TODAY()-K97&gt;=14),AND(F97&lt;&gt;"",TODAY()-F97&gt;=21)),"Red",IF(OR(AND(K97&lt;&gt;"",TODAY()-K97&gt;=7),AND(C97&lt;&gt;"",C97-TODAY()&lt;=30)),"Yellow","Green")))</f>
        <v/>
      </c>
      <c r="E97" s="12">
        <f>IF(K97="","",TODAY()-K97)</f>
        <v/>
      </c>
      <c r="F97" s="10">
        <f>IFERROR(1/(1/MAXIFS(Touchpoints!$A:$A,Touchpoints!$B:$B,A97)),"")</f>
        <v/>
      </c>
      <c r="G97" s="11">
        <f>IF(F97="","",TODAY()-F97)</f>
        <v/>
      </c>
      <c r="H97" s="11" t="n"/>
      <c r="I97" s="11" t="n"/>
      <c r="J97" s="11" t="n"/>
      <c r="K97" s="17" t="n">
        <v>46205</v>
      </c>
      <c r="L97" s="0" t="inlineStr">
        <is>
          <t>M-0096</t>
        </is>
      </c>
      <c r="M97" s="0" t="inlineStr">
        <is>
          <t>none</t>
        </is>
      </c>
      <c r="R97" t="inlineStr">
        <is>
          <t>marcus.radcliffe@example.com</t>
        </is>
      </c>
      <c r="S97" t="n">
        <v>16</v>
      </c>
      <c r="T97" t="inlineStr">
        <is>
          <t>yes</t>
        </is>
      </c>
    </row>
    <row r="98" ht="15.75" customHeight="1" s="18">
      <c r="A98" s="9" t="inlineStr">
        <is>
          <t>Franklin Thornbury</t>
        </is>
      </c>
      <c r="B98" s="10" t="n">
        <v>46188</v>
      </c>
      <c r="C98" s="10">
        <f>IF(B98="","",EDATE(B98,12*(DATEDIF(B98,TODAY(),"y")+1)))</f>
        <v/>
      </c>
      <c r="D98" s="11">
        <f>IF(AND(K98="",F98=""),"",IF(OR(AND(K98&lt;&gt;"",TODAY()-K98&gt;=14),AND(F98&lt;&gt;"",TODAY()-F98&gt;=21)),"Red",IF(OR(AND(K98&lt;&gt;"",TODAY()-K98&gt;=7),AND(C98&lt;&gt;"",C98-TODAY()&lt;=30)),"Yellow","Green")))</f>
        <v/>
      </c>
      <c r="E98" s="12">
        <f>IF(K98="","",TODAY()-K98)</f>
        <v/>
      </c>
      <c r="F98" s="10">
        <f>IFERROR(1/(1/MAXIFS(Touchpoints!$A:$A,Touchpoints!$B:$B,A98)),"")</f>
        <v/>
      </c>
      <c r="G98" s="11">
        <f>IF(F98="","",TODAY()-F98)</f>
        <v/>
      </c>
      <c r="H98" s="11" t="n"/>
      <c r="I98" s="11" t="n"/>
      <c r="J98" s="11" t="n"/>
      <c r="K98" s="17" t="n">
        <v>46305</v>
      </c>
      <c r="L98" s="0" t="inlineStr">
        <is>
          <t>M-0097</t>
        </is>
      </c>
      <c r="M98" s="0" t="inlineStr">
        <is>
          <t>none</t>
        </is>
      </c>
      <c r="R98" t="inlineStr">
        <is>
          <t>franklin.thornbury@example.com</t>
        </is>
      </c>
      <c r="S98" t="n">
        <v>0</v>
      </c>
      <c r="T98" t="inlineStr">
        <is>
          <t>no</t>
        </is>
      </c>
    </row>
    <row r="99" ht="15.75" customHeight="1" s="18">
      <c r="A99" s="9" t="inlineStr">
        <is>
          <t>Leonard Whitfield</t>
        </is>
      </c>
      <c r="B99" s="10" t="n">
        <v>46189</v>
      </c>
      <c r="C99" s="10">
        <f>IF(B99="","",EDATE(B99,12*(DATEDIF(B99,TODAY(),"y")+1)))</f>
        <v/>
      </c>
      <c r="D99" s="11">
        <f>IF(AND(K99="",F99=""),"",IF(OR(AND(K99&lt;&gt;"",TODAY()-K99&gt;=14),AND(F99&lt;&gt;"",TODAY()-F99&gt;=21)),"Red",IF(OR(AND(K99&lt;&gt;"",TODAY()-K99&gt;=7),AND(C99&lt;&gt;"",C99-TODAY()&lt;=30)),"Yellow","Green")))</f>
        <v/>
      </c>
      <c r="E99" s="12">
        <f>IF(K99="","",TODAY()-K99)</f>
        <v/>
      </c>
      <c r="F99" s="10">
        <f>IFERROR(1/(1/MAXIFS(Touchpoints!$A:$A,Touchpoints!$B:$B,A99)),"")</f>
        <v/>
      </c>
      <c r="G99" s="11">
        <f>IF(F99="","",TODAY()-F99)</f>
        <v/>
      </c>
      <c r="H99" s="11" t="n"/>
      <c r="I99" s="11" t="n"/>
      <c r="J99" s="11" t="n"/>
      <c r="K99" s="17" t="n">
        <v>46306</v>
      </c>
      <c r="L99" s="0" t="inlineStr">
        <is>
          <t>M-0098</t>
        </is>
      </c>
      <c r="M99" s="0" t="inlineStr">
        <is>
          <t>none</t>
        </is>
      </c>
      <c r="R99" t="inlineStr">
        <is>
          <t>leonard.whitfield@example.com</t>
        </is>
      </c>
      <c r="S99" t="n">
        <v>40</v>
      </c>
      <c r="T99" t="inlineStr">
        <is>
          <t>yes</t>
        </is>
      </c>
    </row>
    <row r="100" ht="15.75" customHeight="1" s="18">
      <c r="A100" s="9" t="inlineStr">
        <is>
          <t>Rowan Jetley</t>
        </is>
      </c>
      <c r="B100" s="10" t="n">
        <v>46192</v>
      </c>
      <c r="C100" s="10">
        <f>IF(B100="","",EDATE(B100,12*(DATEDIF(B100,TODAY(),"y")+1)))</f>
        <v/>
      </c>
      <c r="D100" s="11">
        <f>IF(AND(K100="",F100=""),"",IF(OR(AND(K100&lt;&gt;"",TODAY()-K100&gt;=14),AND(F100&lt;&gt;"",TODAY()-F100&gt;=21)),"Red",IF(OR(AND(K100&lt;&gt;"",TODAY()-K100&gt;=7),AND(C100&lt;&gt;"",C100-TODAY()&lt;=30)),"Yellow","Green")))</f>
        <v/>
      </c>
      <c r="E100" s="12">
        <f>IF(K100="","",TODAY()-K100)</f>
        <v/>
      </c>
      <c r="F100" s="10">
        <f>IFERROR(1/(1/MAXIFS(Touchpoints!$A:$A,Touchpoints!$B:$B,A100)),"")</f>
        <v/>
      </c>
      <c r="G100" s="11">
        <f>IF(F100="","",TODAY()-F100)</f>
        <v/>
      </c>
      <c r="H100" s="11" t="n"/>
      <c r="I100" s="11" t="n"/>
      <c r="J100" s="11" t="n"/>
      <c r="K100" s="17" t="n">
        <v>46191</v>
      </c>
      <c r="L100" s="0" t="inlineStr">
        <is>
          <t>M-0099</t>
        </is>
      </c>
      <c r="M100" s="0" t="inlineStr">
        <is>
          <t>none</t>
        </is>
      </c>
      <c r="R100" t="inlineStr">
        <is>
          <t>rowan.jetley@example.com</t>
        </is>
      </c>
      <c r="S100" t="n">
        <v>38</v>
      </c>
      <c r="T100" t="inlineStr">
        <is>
          <t>yes</t>
        </is>
      </c>
    </row>
    <row r="101" ht="15.75" customHeight="1" s="18">
      <c r="A101" s="9" t="inlineStr">
        <is>
          <t>Julius Jardine</t>
        </is>
      </c>
      <c r="B101" s="10" t="n">
        <v>46195</v>
      </c>
      <c r="C101" s="10">
        <f>IF(B101="","",EDATE(B101,12*(DATEDIF(B101,TODAY(),"y")+1)))</f>
        <v/>
      </c>
      <c r="D101" s="11">
        <f>IF(AND(K101="",F101=""),"",IF(OR(AND(K101&lt;&gt;"",TODAY()-K101&gt;=14),AND(F101&lt;&gt;"",TODAY()-F101&gt;=21)),"Red",IF(OR(AND(K101&lt;&gt;"",TODAY()-K101&gt;=7),AND(C101&lt;&gt;"",C101-TODAY()&lt;=30)),"Yellow","Green")))</f>
        <v/>
      </c>
      <c r="E101" s="12">
        <f>IF(K101="","",TODAY()-K101)</f>
        <v/>
      </c>
      <c r="F101" s="10">
        <f>IFERROR(1/(1/MAXIFS(Touchpoints!$A:$A,Touchpoints!$B:$B,A101)),"")</f>
        <v/>
      </c>
      <c r="G101" s="11">
        <f>IF(F101="","",TODAY()-F101)</f>
        <v/>
      </c>
      <c r="H101" s="11" t="n"/>
      <c r="I101" s="11" t="n"/>
      <c r="J101" s="11" t="n"/>
      <c r="K101" s="17" t="n">
        <v>46311</v>
      </c>
      <c r="L101" s="0" t="inlineStr">
        <is>
          <t>M-0100</t>
        </is>
      </c>
      <c r="M101" s="0" t="inlineStr">
        <is>
          <t>none</t>
        </is>
      </c>
      <c r="R101" t="inlineStr">
        <is>
          <t>julius.jardine@example.com</t>
        </is>
      </c>
      <c r="S101" t="n">
        <v>37</v>
      </c>
      <c r="T101" t="inlineStr">
        <is>
          <t>yes</t>
        </is>
      </c>
    </row>
    <row r="102" ht="15.75" customHeight="1" s="18">
      <c r="A102" s="9" t="inlineStr">
        <is>
          <t>Lars Underhill</t>
        </is>
      </c>
      <c r="B102" s="10" t="n">
        <v>46196</v>
      </c>
      <c r="C102" s="10">
        <f>IF(B102="","",EDATE(B102,12*(DATEDIF(B102,TODAY(),"y")+1)))</f>
        <v/>
      </c>
      <c r="D102" s="11">
        <f>IF(AND(K102="",F102=""),"",IF(OR(AND(K102&lt;&gt;"",TODAY()-K102&gt;=14),AND(F102&lt;&gt;"",TODAY()-F102&gt;=21)),"Red",IF(OR(AND(K102&lt;&gt;"",TODAY()-K102&gt;=7),AND(C102&lt;&gt;"",C102-TODAY()&lt;=30)),"Yellow","Green")))</f>
        <v/>
      </c>
      <c r="E102" s="12">
        <f>IF(K102="","",TODAY()-K102)</f>
        <v/>
      </c>
      <c r="F102" s="10">
        <f>IFERROR(1/(1/MAXIFS(Touchpoints!$A:$A,Touchpoints!$B:$B,A102)),"")</f>
        <v/>
      </c>
      <c r="G102" s="11">
        <f>IF(F102="","",TODAY()-F102)</f>
        <v/>
      </c>
      <c r="H102" s="11" t="n"/>
      <c r="I102" s="11" t="n"/>
      <c r="J102" s="11" t="n"/>
      <c r="K102" s="17" t="n">
        <v>46311</v>
      </c>
      <c r="L102" s="0" t="inlineStr">
        <is>
          <t>M-0101</t>
        </is>
      </c>
      <c r="M102" s="0" t="inlineStr">
        <is>
          <t>none</t>
        </is>
      </c>
      <c r="R102" t="inlineStr">
        <is>
          <t>lars.underhill@example.com</t>
        </is>
      </c>
      <c r="S102" t="n">
        <v>0</v>
      </c>
      <c r="T102" t="inlineStr">
        <is>
          <t>no</t>
        </is>
      </c>
    </row>
    <row r="103" ht="15.75" customHeight="1" s="18">
      <c r="A103" s="9" t="inlineStr">
        <is>
          <t>Nathaniel Lachlan</t>
        </is>
      </c>
      <c r="B103" s="10" t="n">
        <v>46196</v>
      </c>
      <c r="C103" s="10">
        <f>IF(B103="","",EDATE(B103,12*(DATEDIF(B103,TODAY(),"y")+1)))</f>
        <v/>
      </c>
      <c r="D103" s="11">
        <f>IF(AND(K103="",F103=""),"",IF(OR(AND(K103&lt;&gt;"",TODAY()-K103&gt;=14),AND(F103&lt;&gt;"",TODAY()-F103&gt;=21)),"Red",IF(OR(AND(K103&lt;&gt;"",TODAY()-K103&gt;=7),AND(C103&lt;&gt;"",C103-TODAY()&lt;=30)),"Yellow","Green")))</f>
        <v/>
      </c>
      <c r="E103" s="12">
        <f>IF(K103="","",TODAY()-K103)</f>
        <v/>
      </c>
      <c r="F103" s="10">
        <f>IFERROR(1/(1/MAXIFS(Touchpoints!$A:$A,Touchpoints!$B:$B,A103)),"")</f>
        <v/>
      </c>
      <c r="G103" s="11">
        <f>IF(F103="","",TODAY()-F103)</f>
        <v/>
      </c>
      <c r="H103" s="11" t="n"/>
      <c r="I103" s="11" t="n"/>
      <c r="J103" s="11" t="n"/>
      <c r="K103" s="17" t="n">
        <v>46311</v>
      </c>
      <c r="L103" s="0" t="inlineStr">
        <is>
          <t>M-0102</t>
        </is>
      </c>
      <c r="M103" s="0" t="inlineStr">
        <is>
          <t>none</t>
        </is>
      </c>
      <c r="R103" t="inlineStr">
        <is>
          <t>nathaniel.lachlan@example.com</t>
        </is>
      </c>
      <c r="S103" t="n">
        <v>10</v>
      </c>
      <c r="T103" t="inlineStr">
        <is>
          <t>yes</t>
        </is>
      </c>
    </row>
    <row r="104" ht="15.75" customHeight="1" s="18">
      <c r="A104" s="9" t="inlineStr">
        <is>
          <t>Grant Ridgeway</t>
        </is>
      </c>
      <c r="B104" s="10" t="n">
        <v>46196</v>
      </c>
      <c r="C104" s="10">
        <f>IF(B104="","",EDATE(B104,12*(DATEDIF(B104,TODAY(),"y")+1)))</f>
        <v/>
      </c>
      <c r="D104" s="11">
        <f>IF(AND(K104="",F104=""),"",IF(OR(AND(K104&lt;&gt;"",TODAY()-K104&gt;=14),AND(F104&lt;&gt;"",TODAY()-F104&gt;=21)),"Red",IF(OR(AND(K104&lt;&gt;"",TODAY()-K104&gt;=7),AND(C104&lt;&gt;"",C104-TODAY()&lt;=30)),"Yellow","Green")))</f>
        <v/>
      </c>
      <c r="E104" s="12">
        <f>IF(K104="","",TODAY()-K104)</f>
        <v/>
      </c>
      <c r="F104" s="10">
        <f>IFERROR(1/(1/MAXIFS(Touchpoints!$A:$A,Touchpoints!$B:$B,A104)),"")</f>
        <v/>
      </c>
      <c r="G104" s="11">
        <f>IF(F104="","",TODAY()-F104)</f>
        <v/>
      </c>
      <c r="H104" s="11" t="n"/>
      <c r="I104" s="11" t="n"/>
      <c r="J104" s="11" t="n"/>
      <c r="K104" s="17" t="n">
        <v>46307</v>
      </c>
      <c r="L104" s="0" t="inlineStr">
        <is>
          <t>M-0103</t>
        </is>
      </c>
      <c r="M104" s="0" t="inlineStr">
        <is>
          <t>none</t>
        </is>
      </c>
      <c r="R104" t="inlineStr">
        <is>
          <t>grant.ridgeway@example.com</t>
        </is>
      </c>
      <c r="S104" t="n">
        <v>15</v>
      </c>
      <c r="T104" t="inlineStr">
        <is>
          <t>yes</t>
        </is>
      </c>
    </row>
    <row r="105" ht="15.75" customHeight="1" s="18">
      <c r="A105" s="9" t="inlineStr">
        <is>
          <t>Tomas Hollingsworth</t>
        </is>
      </c>
      <c r="B105" s="10" t="n">
        <v>45836</v>
      </c>
      <c r="C105" s="10">
        <f>IF(B105="","",EDATE(B105,12*(DATEDIF(B105,TODAY(),"y")+1)))</f>
        <v/>
      </c>
      <c r="D105" s="11">
        <f>IF(AND(K105="",F105=""),"",IF(OR(AND(K105&lt;&gt;"",TODAY()-K105&gt;=14),AND(F105&lt;&gt;"",TODAY()-F105&gt;=21)),"Red",IF(OR(AND(K105&lt;&gt;"",TODAY()-K105&gt;=7),AND(C105&lt;&gt;"",C105-TODAY()&lt;=30)),"Yellow","Green")))</f>
        <v/>
      </c>
      <c r="E105" s="12">
        <f>IF(K105="","",TODAY()-K105)</f>
        <v/>
      </c>
      <c r="F105" s="10">
        <f>IFERROR(1/(1/MAXIFS(Touchpoints!$A:$A,Touchpoints!$B:$B,A105)),"")</f>
        <v/>
      </c>
      <c r="G105" s="11">
        <f>IF(F105="","",TODAY()-F105)</f>
        <v/>
      </c>
      <c r="H105" s="11" t="n"/>
      <c r="I105" s="11" t="n"/>
      <c r="J105" s="11" t="n"/>
      <c r="K105" s="17" t="n">
        <v>46176</v>
      </c>
      <c r="L105" s="0" t="inlineStr">
        <is>
          <t>M-0104</t>
        </is>
      </c>
      <c r="M105" s="0" t="inlineStr">
        <is>
          <t>none</t>
        </is>
      </c>
      <c r="R105" t="inlineStr">
        <is>
          <t>tomas.hollingsworth@example.com</t>
        </is>
      </c>
      <c r="S105" t="n">
        <v>40</v>
      </c>
      <c r="T105" t="inlineStr">
        <is>
          <t>yes</t>
        </is>
      </c>
    </row>
    <row r="106" ht="15.75" customHeight="1" s="18">
      <c r="A106" s="9" t="inlineStr">
        <is>
          <t>Silas Fairview</t>
        </is>
      </c>
      <c r="B106" s="10" t="n">
        <v>46201</v>
      </c>
      <c r="C106" s="10">
        <f>IF(B106="","",EDATE(B106,12*(DATEDIF(B106,TODAY(),"y")+1)))</f>
        <v/>
      </c>
      <c r="D106" s="11">
        <f>IF(AND(K106="",F106=""),"",IF(OR(AND(K106&lt;&gt;"",TODAY()-K106&gt;=14),AND(F106&lt;&gt;"",TODAY()-F106&gt;=21)),"Red",IF(OR(AND(K106&lt;&gt;"",TODAY()-K106&gt;=7),AND(C106&lt;&gt;"",C106-TODAY()&lt;=30)),"Yellow","Green")))</f>
        <v/>
      </c>
      <c r="E106" s="12">
        <f>IF(K106="","",TODAY()-K106)</f>
        <v/>
      </c>
      <c r="F106" s="10">
        <f>IFERROR(1/(1/MAXIFS(Touchpoints!$A:$A,Touchpoints!$B:$B,A106)),"")</f>
        <v/>
      </c>
      <c r="G106" s="11">
        <f>IF(F106="","",TODAY()-F106)</f>
        <v/>
      </c>
      <c r="H106" s="11" t="n"/>
      <c r="I106" s="11" t="n"/>
      <c r="J106" s="11" t="n"/>
      <c r="K106" s="17" t="n">
        <v>46311</v>
      </c>
      <c r="L106" s="0" t="inlineStr">
        <is>
          <t>M-0105</t>
        </is>
      </c>
      <c r="M106" s="0" t="inlineStr">
        <is>
          <t>none</t>
        </is>
      </c>
      <c r="R106" t="inlineStr">
        <is>
          <t>silas.fairview@example.com</t>
        </is>
      </c>
      <c r="S106" t="n">
        <v>13</v>
      </c>
      <c r="T106" t="inlineStr">
        <is>
          <t>yes</t>
        </is>
      </c>
    </row>
    <row r="107" ht="15.75" customHeight="1" s="18">
      <c r="A107" s="9" t="inlineStr">
        <is>
          <t>Franklin Orchard</t>
        </is>
      </c>
      <c r="B107" s="10" t="n">
        <v>46201</v>
      </c>
      <c r="C107" s="10">
        <f>IF(B107="","",EDATE(B107,12*(DATEDIF(B107,TODAY(),"y")+1)))</f>
        <v/>
      </c>
      <c r="D107" s="11">
        <f>IF(AND(K107="",F107=""),"",IF(OR(AND(K107&lt;&gt;"",TODAY()-K107&gt;=14),AND(F107&lt;&gt;"",TODAY()-F107&gt;=21)),"Red",IF(OR(AND(K107&lt;&gt;"",TODAY()-K107&gt;=7),AND(C107&lt;&gt;"",C107-TODAY()&lt;=30)),"Yellow","Green")))</f>
        <v/>
      </c>
      <c r="E107" s="12">
        <f>IF(K107="","",TODAY()-K107)</f>
        <v/>
      </c>
      <c r="F107" s="10">
        <f>IFERROR(1/(1/MAXIFS(Touchpoints!$A:$A,Touchpoints!$B:$B,A107)),"")</f>
        <v/>
      </c>
      <c r="G107" s="11">
        <f>IF(F107="","",TODAY()-F107)</f>
        <v/>
      </c>
      <c r="H107" s="11" t="n"/>
      <c r="I107" s="11" t="n"/>
      <c r="J107" s="11" t="n"/>
      <c r="K107" s="17" t="n">
        <v>46311</v>
      </c>
      <c r="L107" s="0" t="inlineStr">
        <is>
          <t>M-0106</t>
        </is>
      </c>
      <c r="M107" s="0" t="inlineStr">
        <is>
          <t>none</t>
        </is>
      </c>
      <c r="R107" t="inlineStr">
        <is>
          <t>franklin.orchard@example.com</t>
        </is>
      </c>
      <c r="S107" t="n">
        <v>0</v>
      </c>
      <c r="T107" t="inlineStr">
        <is>
          <t>no</t>
        </is>
      </c>
    </row>
    <row r="108" ht="15.75" customHeight="1" s="18">
      <c r="A108" s="9" t="inlineStr">
        <is>
          <t>Martin Lindqvist</t>
        </is>
      </c>
      <c r="B108" s="10" t="n">
        <v>46201</v>
      </c>
      <c r="C108" s="10">
        <f>IF(B108="","",EDATE(B108,12*(DATEDIF(B108,TODAY(),"y")+1)))</f>
        <v/>
      </c>
      <c r="D108" s="11">
        <f>IF(AND(K108="",F108=""),"",IF(OR(AND(K108&lt;&gt;"",TODAY()-K108&gt;=14),AND(F108&lt;&gt;"",TODAY()-F108&gt;=21)),"Red",IF(OR(AND(K108&lt;&gt;"",TODAY()-K108&gt;=7),AND(C108&lt;&gt;"",C108-TODAY()&lt;=30)),"Yellow","Green")))</f>
        <v/>
      </c>
      <c r="E108" s="12">
        <f>IF(K108="","",TODAY()-K108)</f>
        <v/>
      </c>
      <c r="F108" s="10">
        <f>IFERROR(1/(1/MAXIFS(Touchpoints!$A:$A,Touchpoints!$B:$B,A108)),"")</f>
        <v/>
      </c>
      <c r="G108" s="11">
        <f>IF(F108="","",TODAY()-F108)</f>
        <v/>
      </c>
      <c r="H108" s="11" t="n"/>
      <c r="I108" s="11" t="n"/>
      <c r="J108" s="11" t="n"/>
      <c r="K108" s="17" t="n">
        <v>46288</v>
      </c>
      <c r="L108" s="0" t="inlineStr">
        <is>
          <t>M-0107</t>
        </is>
      </c>
      <c r="M108" s="0" t="inlineStr">
        <is>
          <t>none</t>
        </is>
      </c>
      <c r="R108" t="inlineStr">
        <is>
          <t>martin.lindqvist@example.com</t>
        </is>
      </c>
      <c r="S108" t="n">
        <v>36</v>
      </c>
      <c r="T108" t="inlineStr">
        <is>
          <t>yes</t>
        </is>
      </c>
    </row>
    <row r="109" ht="15.75" customHeight="1" s="18">
      <c r="A109" s="9" t="inlineStr">
        <is>
          <t>Bruno Rothbury</t>
        </is>
      </c>
      <c r="B109" s="10" t="n">
        <v>46201</v>
      </c>
      <c r="C109" s="10">
        <f>IF(B109="","",EDATE(B109,12*(DATEDIF(B109,TODAY(),"y")+1)))</f>
        <v/>
      </c>
      <c r="D109" s="11">
        <f>IF(AND(K109="",F109=""),"",IF(OR(AND(K109&lt;&gt;"",TODAY()-K109&gt;=14),AND(F109&lt;&gt;"",TODAY()-F109&gt;=21)),"Red",IF(OR(AND(K109&lt;&gt;"",TODAY()-K109&gt;=7),AND(C109&lt;&gt;"",C109-TODAY()&lt;=30)),"Yellow","Green")))</f>
        <v/>
      </c>
      <c r="E109" s="12">
        <f>IF(K109="","",TODAY()-K109)</f>
        <v/>
      </c>
      <c r="F109" s="10">
        <f>IFERROR(1/(1/MAXIFS(Touchpoints!$A:$A,Touchpoints!$B:$B,A109)),"")</f>
        <v/>
      </c>
      <c r="G109" s="11">
        <f>IF(F109="","",TODAY()-F109)</f>
        <v/>
      </c>
      <c r="H109" s="11" t="n"/>
      <c r="I109" s="11" t="n"/>
      <c r="J109" s="11" t="n"/>
      <c r="K109" s="17" t="n">
        <v>46310</v>
      </c>
      <c r="L109" s="0" t="inlineStr">
        <is>
          <t>M-0108</t>
        </is>
      </c>
      <c r="M109" s="0" t="inlineStr">
        <is>
          <t>none</t>
        </is>
      </c>
      <c r="R109" t="inlineStr">
        <is>
          <t>bruno.rothbury@example.com</t>
        </is>
      </c>
      <c r="S109" t="n">
        <v>0</v>
      </c>
      <c r="T109" t="inlineStr">
        <is>
          <t>no</t>
        </is>
      </c>
    </row>
    <row r="110" ht="15.75" customHeight="1" s="18">
      <c r="A110" s="9" t="inlineStr">
        <is>
          <t>Callum Kelso</t>
        </is>
      </c>
      <c r="B110" s="10" t="n">
        <v>46203</v>
      </c>
      <c r="C110" s="10">
        <f>IF(B110="","",EDATE(B110,12*(DATEDIF(B110,TODAY(),"y")+1)))</f>
        <v/>
      </c>
      <c r="D110" s="11">
        <f>IF(AND(K110="",F110=""),"",IF(OR(AND(K110&lt;&gt;"",TODAY()-K110&gt;=14),AND(F110&lt;&gt;"",TODAY()-F110&gt;=21)),"Red",IF(OR(AND(K110&lt;&gt;"",TODAY()-K110&gt;=7),AND(C110&lt;&gt;"",C110-TODAY()&lt;=30)),"Yellow","Green")))</f>
        <v/>
      </c>
      <c r="E110" s="12">
        <f>IF(K110="","",TODAY()-K110)</f>
        <v/>
      </c>
      <c r="F110" s="10">
        <f>IFERROR(1/(1/MAXIFS(Touchpoints!$A:$A,Touchpoints!$B:$B,A110)),"")</f>
        <v/>
      </c>
      <c r="G110" s="11">
        <f>IF(F110="","",TODAY()-F110)</f>
        <v/>
      </c>
      <c r="H110" s="11" t="n"/>
      <c r="I110" s="11" t="n"/>
      <c r="J110" s="11" t="n"/>
      <c r="K110" s="17" t="n">
        <v>46311</v>
      </c>
      <c r="L110" s="0" t="inlineStr">
        <is>
          <t>M-0109</t>
        </is>
      </c>
      <c r="M110" s="0" t="inlineStr">
        <is>
          <t>none</t>
        </is>
      </c>
      <c r="R110" t="inlineStr">
        <is>
          <t>callum.kelso@example.com</t>
        </is>
      </c>
      <c r="S110" t="n">
        <v>31</v>
      </c>
      <c r="T110" t="inlineStr">
        <is>
          <t>yes</t>
        </is>
      </c>
    </row>
    <row r="111" ht="15.75" customHeight="1" s="18">
      <c r="A111" s="9" t="inlineStr">
        <is>
          <t>Emmett Trenchard</t>
        </is>
      </c>
      <c r="B111" s="10" t="n">
        <v>46204</v>
      </c>
      <c r="C111" s="10">
        <f>IF(B111="","",EDATE(B111,12*(DATEDIF(B111,TODAY(),"y")+1)))</f>
        <v/>
      </c>
      <c r="D111" s="11">
        <f>IF(AND(K111="",F111=""),"",IF(OR(AND(K111&lt;&gt;"",TODAY()-K111&gt;=14),AND(F111&lt;&gt;"",TODAY()-F111&gt;=21)),"Red",IF(OR(AND(K111&lt;&gt;"",TODAY()-K111&gt;=7),AND(C111&lt;&gt;"",C111-TODAY()&lt;=30)),"Yellow","Green")))</f>
        <v/>
      </c>
      <c r="E111" s="12">
        <f>IF(K111="","",TODAY()-K111)</f>
        <v/>
      </c>
      <c r="F111" s="10">
        <f>IFERROR(1/(1/MAXIFS(Touchpoints!$A:$A,Touchpoints!$B:$B,A111)),"")</f>
        <v/>
      </c>
      <c r="G111" s="11">
        <f>IF(F111="","",TODAY()-F111)</f>
        <v/>
      </c>
      <c r="H111" s="11" t="n"/>
      <c r="I111" s="11" t="n"/>
      <c r="J111" s="11" t="n"/>
      <c r="K111" s="17" t="n">
        <v>46309</v>
      </c>
      <c r="L111" s="0" t="inlineStr">
        <is>
          <t>M-0110</t>
        </is>
      </c>
      <c r="M111" s="0" t="inlineStr">
        <is>
          <t>none</t>
        </is>
      </c>
      <c r="R111" t="inlineStr">
        <is>
          <t>emmett.trenchard@example.com</t>
        </is>
      </c>
      <c r="S111" t="n">
        <v>27</v>
      </c>
      <c r="T111" t="inlineStr">
        <is>
          <t>yes</t>
        </is>
      </c>
    </row>
    <row r="112" ht="15.75" customHeight="1" s="18">
      <c r="A112" s="9" t="inlineStr">
        <is>
          <t>Mateo Yardley</t>
        </is>
      </c>
      <c r="B112" s="10" t="n">
        <v>46209</v>
      </c>
      <c r="C112" s="10">
        <f>IF(B112="","",EDATE(B112,12*(DATEDIF(B112,TODAY(),"y")+1)))</f>
        <v/>
      </c>
      <c r="D112" s="11">
        <f>IF(AND(K112="",F112=""),"",IF(OR(AND(K112&lt;&gt;"",TODAY()-K112&gt;=14),AND(F112&lt;&gt;"",TODAY()-F112&gt;=21)),"Red",IF(OR(AND(K112&lt;&gt;"",TODAY()-K112&gt;=7),AND(C112&lt;&gt;"",C112-TODAY()&lt;=30)),"Yellow","Green")))</f>
        <v/>
      </c>
      <c r="E112" s="12">
        <f>IF(K112="","",TODAY()-K112)</f>
        <v/>
      </c>
      <c r="F112" s="10">
        <f>IFERROR(1/(1/MAXIFS(Touchpoints!$A:$A,Touchpoints!$B:$B,A112)),"")</f>
        <v/>
      </c>
      <c r="G112" s="11">
        <f>IF(F112="","",TODAY()-F112)</f>
        <v/>
      </c>
      <c r="H112" s="11" t="n"/>
      <c r="I112" s="11" t="n"/>
      <c r="J112" s="11" t="n"/>
      <c r="K112" s="17" t="n">
        <v>46249</v>
      </c>
      <c r="L112" s="0" t="inlineStr">
        <is>
          <t>M-0111</t>
        </is>
      </c>
      <c r="M112" s="0" t="inlineStr">
        <is>
          <t>none</t>
        </is>
      </c>
      <c r="R112" t="inlineStr">
        <is>
          <t>mateo.yardley@example.com</t>
        </is>
      </c>
      <c r="S112" t="n">
        <v>0</v>
      </c>
      <c r="T112" t="inlineStr">
        <is>
          <t>no</t>
        </is>
      </c>
    </row>
    <row r="113" ht="15.75" customHeight="1" s="18">
      <c r="A113" s="9" t="inlineStr">
        <is>
          <t>Stanley Bramwell</t>
        </is>
      </c>
      <c r="B113" s="10" t="n">
        <v>46209</v>
      </c>
      <c r="C113" s="10">
        <f>IF(B113="","",EDATE(B113,12*(DATEDIF(B113,TODAY(),"y")+1)))</f>
        <v/>
      </c>
      <c r="D113" s="11">
        <f>IF(AND(K113="",F113=""),"",IF(OR(AND(K113&lt;&gt;"",TODAY()-K113&gt;=14),AND(F113&lt;&gt;"",TODAY()-F113&gt;=21)),"Red",IF(OR(AND(K113&lt;&gt;"",TODAY()-K113&gt;=7),AND(C113&lt;&gt;"",C113-TODAY()&lt;=30)),"Yellow","Green")))</f>
        <v/>
      </c>
      <c r="E113" s="12">
        <f>IF(K113="","",TODAY()-K113)</f>
        <v/>
      </c>
      <c r="F113" s="10">
        <f>IFERROR(1/(1/MAXIFS(Touchpoints!$A:$A,Touchpoints!$B:$B,A113)),"")</f>
        <v/>
      </c>
      <c r="G113" s="11">
        <f>IF(F113="","",TODAY()-F113)</f>
        <v/>
      </c>
      <c r="H113" s="11" t="n"/>
      <c r="I113" s="11" t="n"/>
      <c r="J113" s="11" t="n"/>
      <c r="K113" s="17" t="n">
        <v>46309</v>
      </c>
      <c r="L113" s="0" t="inlineStr">
        <is>
          <t>M-0112</t>
        </is>
      </c>
      <c r="M113" s="0" t="inlineStr">
        <is>
          <t>none</t>
        </is>
      </c>
      <c r="R113" t="inlineStr">
        <is>
          <t>stanley.bramwell@example.com</t>
        </is>
      </c>
      <c r="S113" t="n">
        <v>0</v>
      </c>
      <c r="T113" t="inlineStr">
        <is>
          <t>no</t>
        </is>
      </c>
    </row>
    <row r="114" ht="15.75" customHeight="1" s="18">
      <c r="A114" s="9" t="inlineStr">
        <is>
          <t>Wallace Lindqvist</t>
        </is>
      </c>
      <c r="B114" s="10" t="n">
        <v>46211</v>
      </c>
      <c r="C114" s="10">
        <f>IF(B114="","",EDATE(B114,12*(DATEDIF(B114,TODAY(),"y")+1)))</f>
        <v/>
      </c>
      <c r="D114" s="11">
        <f>IF(AND(K114="",F114=""),"",IF(OR(AND(K114&lt;&gt;"",TODAY()-K114&gt;=14),AND(F114&lt;&gt;"",TODAY()-F114&gt;=21)),"Red",IF(OR(AND(K114&lt;&gt;"",TODAY()-K114&gt;=7),AND(C114&lt;&gt;"",C114-TODAY()&lt;=30)),"Yellow","Green")))</f>
        <v/>
      </c>
      <c r="E114" s="12">
        <f>IF(K114="","",TODAY()-K114)</f>
        <v/>
      </c>
      <c r="F114" s="10">
        <f>IFERROR(1/(1/MAXIFS(Touchpoints!$A:$A,Touchpoints!$B:$B,A114)),"")</f>
        <v/>
      </c>
      <c r="G114" s="11">
        <f>IF(F114="","",TODAY()-F114)</f>
        <v/>
      </c>
      <c r="H114" s="11" t="n"/>
      <c r="I114" s="11" t="n"/>
      <c r="J114" s="11" t="n"/>
      <c r="K114" s="17" t="n">
        <v>46311</v>
      </c>
      <c r="L114" s="0" t="inlineStr">
        <is>
          <t>M-0113</t>
        </is>
      </c>
      <c r="M114" s="0" t="inlineStr">
        <is>
          <t>none</t>
        </is>
      </c>
      <c r="R114" t="inlineStr">
        <is>
          <t>wallace.lindqvist@example.com</t>
        </is>
      </c>
      <c r="S114" t="n">
        <v>17</v>
      </c>
      <c r="T114" t="inlineStr">
        <is>
          <t>yes</t>
        </is>
      </c>
    </row>
    <row r="115" ht="15.75" customHeight="1" s="18">
      <c r="A115" s="9" t="inlineStr">
        <is>
          <t>Paolo Ingram</t>
        </is>
      </c>
      <c r="B115" s="10" t="n">
        <v>46216</v>
      </c>
      <c r="C115" s="10">
        <f>IF(B115="","",EDATE(B115,12*(DATEDIF(B115,TODAY(),"y")+1)))</f>
        <v/>
      </c>
      <c r="D115" s="11">
        <f>IF(AND(K115="",F115=""),"",IF(OR(AND(K115&lt;&gt;"",TODAY()-K115&gt;=14),AND(F115&lt;&gt;"",TODAY()-F115&gt;=21)),"Red",IF(OR(AND(K115&lt;&gt;"",TODAY()-K115&gt;=7),AND(C115&lt;&gt;"",C115-TODAY()&lt;=30)),"Yellow","Green")))</f>
        <v/>
      </c>
      <c r="E115" s="12">
        <f>IF(K115="","",TODAY()-K115)</f>
        <v/>
      </c>
      <c r="F115" s="10">
        <f>IFERROR(1/(1/MAXIFS(Touchpoints!$A:$A,Touchpoints!$B:$B,A115)),"")</f>
        <v/>
      </c>
      <c r="G115" s="11">
        <f>IF(F115="","",TODAY()-F115)</f>
        <v/>
      </c>
      <c r="H115" s="11" t="n"/>
      <c r="I115" s="11" t="n"/>
      <c r="J115" s="11" t="n"/>
      <c r="K115" s="17" t="n">
        <v>46311</v>
      </c>
      <c r="L115" s="0" t="inlineStr">
        <is>
          <t>M-0114</t>
        </is>
      </c>
      <c r="M115" s="0" t="inlineStr">
        <is>
          <t>none</t>
        </is>
      </c>
      <c r="R115" t="inlineStr">
        <is>
          <t>paolo.ingram@example.com</t>
        </is>
      </c>
      <c r="S115" t="n">
        <v>26</v>
      </c>
      <c r="T115" t="inlineStr">
        <is>
          <t>yes</t>
        </is>
      </c>
    </row>
    <row r="116" ht="15.75" customHeight="1" s="18">
      <c r="A116" s="9" t="inlineStr">
        <is>
          <t>Oscar Selwyn</t>
        </is>
      </c>
      <c r="B116" s="10" t="n">
        <v>46216</v>
      </c>
      <c r="C116" s="10">
        <f>IF(B116="","",EDATE(B116,12*(DATEDIF(B116,TODAY(),"y")+1)))</f>
        <v/>
      </c>
      <c r="D116" s="11">
        <f>IF(AND(K116="",F116=""),"",IF(OR(AND(K116&lt;&gt;"",TODAY()-K116&gt;=14),AND(F116&lt;&gt;"",TODAY()-F116&gt;=21)),"Red",IF(OR(AND(K116&lt;&gt;"",TODAY()-K116&gt;=7),AND(C116&lt;&gt;"",C116-TODAY()&lt;=30)),"Yellow","Green")))</f>
        <v/>
      </c>
      <c r="E116" s="12">
        <f>IF(K116="","",TODAY()-K116)</f>
        <v/>
      </c>
      <c r="F116" s="10">
        <f>IFERROR(1/(1/MAXIFS(Touchpoints!$A:$A,Touchpoints!$B:$B,A116)),"")</f>
        <v/>
      </c>
      <c r="G116" s="11">
        <f>IF(F116="","",TODAY()-F116)</f>
        <v/>
      </c>
      <c r="H116" s="11" t="n"/>
      <c r="I116" s="11" t="n"/>
      <c r="J116" s="11" t="n"/>
      <c r="K116" s="17" t="n">
        <v>46300</v>
      </c>
      <c r="L116" s="0" t="inlineStr">
        <is>
          <t>M-0115</t>
        </is>
      </c>
      <c r="M116" s="0" t="inlineStr">
        <is>
          <t>none</t>
        </is>
      </c>
      <c r="R116" t="inlineStr">
        <is>
          <t>oscar.selwyn@example.com</t>
        </is>
      </c>
      <c r="S116" t="n">
        <v>39</v>
      </c>
      <c r="T116" t="inlineStr">
        <is>
          <t>yes</t>
        </is>
      </c>
    </row>
    <row r="117" ht="15.75" customHeight="1" s="18">
      <c r="A117" s="9" t="inlineStr">
        <is>
          <t>Ivan Tavish</t>
        </is>
      </c>
      <c r="B117" s="10" t="n">
        <v>46216</v>
      </c>
      <c r="C117" s="10">
        <f>IF(B117="","",EDATE(B117,12*(DATEDIF(B117,TODAY(),"y")+1)))</f>
        <v/>
      </c>
      <c r="D117" s="11">
        <f>IF(AND(K117="",F117=""),"",IF(OR(AND(K117&lt;&gt;"",TODAY()-K117&gt;=14),AND(F117&lt;&gt;"",TODAY()-F117&gt;=21)),"Red",IF(OR(AND(K117&lt;&gt;"",TODAY()-K117&gt;=7),AND(C117&lt;&gt;"",C117-TODAY()&lt;=30)),"Yellow","Green")))</f>
        <v/>
      </c>
      <c r="E117" s="12">
        <f>IF(K117="","",TODAY()-K117)</f>
        <v/>
      </c>
      <c r="F117" s="10">
        <f>IFERROR(1/(1/MAXIFS(Touchpoints!$A:$A,Touchpoints!$B:$B,A117)),"")</f>
        <v/>
      </c>
      <c r="G117" s="11">
        <f>IF(F117="","",TODAY()-F117)</f>
        <v/>
      </c>
      <c r="H117" s="11" t="n"/>
      <c r="I117" s="11" t="n"/>
      <c r="J117" s="11" t="n"/>
      <c r="K117" s="17" t="n">
        <v>46311</v>
      </c>
      <c r="L117" s="0" t="inlineStr">
        <is>
          <t>M-0116</t>
        </is>
      </c>
      <c r="M117" s="0" t="inlineStr">
        <is>
          <t>none</t>
        </is>
      </c>
      <c r="R117" t="inlineStr">
        <is>
          <t>ivan.tavish@example.com</t>
        </is>
      </c>
      <c r="S117" t="n">
        <v>34</v>
      </c>
      <c r="T117" t="inlineStr">
        <is>
          <t>yes</t>
        </is>
      </c>
    </row>
    <row r="118" ht="15.75" customHeight="1" s="18">
      <c r="A118" s="9" t="inlineStr">
        <is>
          <t>Declan Halewood</t>
        </is>
      </c>
      <c r="B118" s="10" t="n">
        <v>46218</v>
      </c>
      <c r="C118" s="10">
        <f>IF(B118="","",EDATE(B118,12*(DATEDIF(B118,TODAY(),"y")+1)))</f>
        <v/>
      </c>
      <c r="D118" s="11">
        <f>IF(AND(K118="",F118=""),"",IF(OR(AND(K118&lt;&gt;"",TODAY()-K118&gt;=14),AND(F118&lt;&gt;"",TODAY()-F118&gt;=21)),"Red",IF(OR(AND(K118&lt;&gt;"",TODAY()-K118&gt;=7),AND(C118&lt;&gt;"",C118-TODAY()&lt;=30)),"Yellow","Green")))</f>
        <v/>
      </c>
      <c r="E118" s="12">
        <f>IF(K118="","",TODAY()-K118)</f>
        <v/>
      </c>
      <c r="F118" s="10">
        <f>IFERROR(1/(1/MAXIFS(Touchpoints!$A:$A,Touchpoints!$B:$B,A118)),"")</f>
        <v/>
      </c>
      <c r="G118" s="11">
        <f>IF(F118="","",TODAY()-F118)</f>
        <v/>
      </c>
      <c r="H118" s="11" t="n"/>
      <c r="I118" s="11" t="n"/>
      <c r="J118" s="11" t="n"/>
      <c r="K118" s="17" t="n">
        <v>46278</v>
      </c>
      <c r="L118" s="0" t="inlineStr">
        <is>
          <t>M-0117</t>
        </is>
      </c>
      <c r="M118" s="0" t="inlineStr">
        <is>
          <t>none</t>
        </is>
      </c>
      <c r="R118" t="inlineStr">
        <is>
          <t>declan.halewood@example.com</t>
        </is>
      </c>
      <c r="S118" t="n">
        <v>0</v>
      </c>
      <c r="T118" t="inlineStr">
        <is>
          <t>no</t>
        </is>
      </c>
    </row>
    <row r="119" ht="15.75" customHeight="1" s="18">
      <c r="A119" s="9" t="inlineStr">
        <is>
          <t>Vernon Harrington</t>
        </is>
      </c>
      <c r="B119" s="10" t="n">
        <v>46218</v>
      </c>
      <c r="C119" s="10">
        <f>IF(B119="","",EDATE(B119,12*(DATEDIF(B119,TODAY(),"y")+1)))</f>
        <v/>
      </c>
      <c r="D119" s="11">
        <f>IF(AND(K119="",F119=""),"",IF(OR(AND(K119&lt;&gt;"",TODAY()-K119&gt;=14),AND(F119&lt;&gt;"",TODAY()-F119&gt;=21)),"Red",IF(OR(AND(K119&lt;&gt;"",TODAY()-K119&gt;=7),AND(C119&lt;&gt;"",C119-TODAY()&lt;=30)),"Yellow","Green")))</f>
        <v/>
      </c>
      <c r="E119" s="12">
        <f>IF(K119="","",TODAY()-K119)</f>
        <v/>
      </c>
      <c r="F119" s="10">
        <f>IFERROR(1/(1/MAXIFS(Touchpoints!$A:$A,Touchpoints!$B:$B,A119)),"")</f>
        <v/>
      </c>
      <c r="G119" s="11">
        <f>IF(F119="","",TODAY()-F119)</f>
        <v/>
      </c>
      <c r="H119" s="11" t="n"/>
      <c r="I119" s="11" t="n"/>
      <c r="J119" s="11" t="n"/>
      <c r="K119" s="17" t="n">
        <v>46311</v>
      </c>
      <c r="L119" s="0" t="inlineStr">
        <is>
          <t>M-0118</t>
        </is>
      </c>
      <c r="M119" s="0" t="inlineStr">
        <is>
          <t>none</t>
        </is>
      </c>
      <c r="R119" t="inlineStr">
        <is>
          <t>vernon.harrington@example.com</t>
        </is>
      </c>
      <c r="S119" t="n">
        <v>5</v>
      </c>
      <c r="T119" t="inlineStr">
        <is>
          <t>yes</t>
        </is>
      </c>
    </row>
    <row r="120" ht="15.75" customHeight="1" s="18">
      <c r="A120" s="9" t="inlineStr">
        <is>
          <t>Leonard Rowntree</t>
        </is>
      </c>
      <c r="B120" s="10" t="n">
        <v>46220</v>
      </c>
      <c r="C120" s="10">
        <f>IF(B120="","",EDATE(B120,12*(DATEDIF(B120,TODAY(),"y")+1)))</f>
        <v/>
      </c>
      <c r="D120" s="11">
        <f>IF(AND(K120="",F120=""),"",IF(OR(AND(K120&lt;&gt;"",TODAY()-K120&gt;=14),AND(F120&lt;&gt;"",TODAY()-F120&gt;=21)),"Red",IF(OR(AND(K120&lt;&gt;"",TODAY()-K120&gt;=7),AND(C120&lt;&gt;"",C120-TODAY()&lt;=30)),"Yellow","Green")))</f>
        <v/>
      </c>
      <c r="E120" s="12">
        <f>IF(K120="","",TODAY()-K120)</f>
        <v/>
      </c>
      <c r="F120" s="10">
        <f>IFERROR(1/(1/MAXIFS(Touchpoints!$A:$A,Touchpoints!$B:$B,A120)),"")</f>
        <v/>
      </c>
      <c r="G120" s="11">
        <f>IF(F120="","",TODAY()-F120)</f>
        <v/>
      </c>
      <c r="H120" s="11" t="n"/>
      <c r="I120" s="11" t="n"/>
      <c r="J120" s="11" t="n"/>
      <c r="K120" s="17" t="n">
        <v>46297</v>
      </c>
      <c r="L120" s="0" t="inlineStr">
        <is>
          <t>M-0119</t>
        </is>
      </c>
      <c r="M120" s="0" t="inlineStr">
        <is>
          <t>none</t>
        </is>
      </c>
      <c r="R120" t="inlineStr">
        <is>
          <t>leonard.rowntree@example.com</t>
        </is>
      </c>
      <c r="S120" t="n">
        <v>0</v>
      </c>
      <c r="T120" t="inlineStr">
        <is>
          <t>no</t>
        </is>
      </c>
    </row>
    <row r="121" ht="15.75" customHeight="1" s="18">
      <c r="A121" s="9" t="inlineStr">
        <is>
          <t>Alvaro Montgomery</t>
        </is>
      </c>
      <c r="B121" s="10" t="n">
        <v>46220</v>
      </c>
      <c r="C121" s="10">
        <f>IF(B121="","",EDATE(B121,12*(DATEDIF(B121,TODAY(),"y")+1)))</f>
        <v/>
      </c>
      <c r="D121" s="11">
        <f>IF(AND(K121="",F121=""),"",IF(OR(AND(K121&lt;&gt;"",TODAY()-K121&gt;=14),AND(F121&lt;&gt;"",TODAY()-F121&gt;=21)),"Red",IF(OR(AND(K121&lt;&gt;"",TODAY()-K121&gt;=7),AND(C121&lt;&gt;"",C121-TODAY()&lt;=30)),"Yellow","Green")))</f>
        <v/>
      </c>
      <c r="E121" s="12">
        <f>IF(K121="","",TODAY()-K121)</f>
        <v/>
      </c>
      <c r="F121" s="10">
        <f>IFERROR(1/(1/MAXIFS(Touchpoints!$A:$A,Touchpoints!$B:$B,A121)),"")</f>
        <v/>
      </c>
      <c r="G121" s="11">
        <f>IF(F121="","",TODAY()-F121)</f>
        <v/>
      </c>
      <c r="H121" s="11" t="n"/>
      <c r="I121" s="11" t="n"/>
      <c r="J121" s="11" t="n"/>
      <c r="K121" s="17" t="n">
        <v>46309</v>
      </c>
      <c r="L121" s="0" t="inlineStr">
        <is>
          <t>M-0120</t>
        </is>
      </c>
      <c r="M121" s="0" t="inlineStr">
        <is>
          <t>none</t>
        </is>
      </c>
      <c r="R121" t="inlineStr">
        <is>
          <t>alvaro.montgomery@example.com</t>
        </is>
      </c>
      <c r="S121" t="n">
        <v>40</v>
      </c>
      <c r="T121" t="inlineStr">
        <is>
          <t>yes</t>
        </is>
      </c>
    </row>
    <row r="122" ht="15.75" customHeight="1" s="18">
      <c r="A122" s="9" t="inlineStr">
        <is>
          <t>Tomas Upton</t>
        </is>
      </c>
      <c r="B122" s="10" t="n">
        <v>46223</v>
      </c>
      <c r="C122" s="10">
        <f>IF(B122="","",EDATE(B122,12*(DATEDIF(B122,TODAY(),"y")+1)))</f>
        <v/>
      </c>
      <c r="D122" s="11">
        <f>IF(AND(K122="",F122=""),"",IF(OR(AND(K122&lt;&gt;"",TODAY()-K122&gt;=14),AND(F122&lt;&gt;"",TODAY()-F122&gt;=21)),"Red",IF(OR(AND(K122&lt;&gt;"",TODAY()-K122&gt;=7),AND(C122&lt;&gt;"",C122-TODAY()&lt;=30)),"Yellow","Green")))</f>
        <v/>
      </c>
      <c r="E122" s="12">
        <f>IF(K122="","",TODAY()-K122)</f>
        <v/>
      </c>
      <c r="F122" s="10">
        <f>IFERROR(1/(1/MAXIFS(Touchpoints!$A:$A,Touchpoints!$B:$B,A122)),"")</f>
        <v/>
      </c>
      <c r="G122" s="11">
        <f>IF(F122="","",TODAY()-F122)</f>
        <v/>
      </c>
      <c r="H122" s="11" t="n"/>
      <c r="I122" s="11" t="n"/>
      <c r="J122" s="11" t="n"/>
      <c r="K122" s="17" t="n">
        <v>46289</v>
      </c>
      <c r="L122" s="0" t="inlineStr">
        <is>
          <t>M-0121</t>
        </is>
      </c>
      <c r="M122" s="0" t="inlineStr">
        <is>
          <t>none</t>
        </is>
      </c>
      <c r="R122" t="inlineStr">
        <is>
          <t>tomas.upton@example.com</t>
        </is>
      </c>
      <c r="S122" t="n">
        <v>18</v>
      </c>
      <c r="T122" t="inlineStr">
        <is>
          <t>yes</t>
        </is>
      </c>
    </row>
    <row r="123" ht="15.75" customHeight="1" s="18">
      <c r="A123" s="9" t="inlineStr">
        <is>
          <t>Ross Fairbanks</t>
        </is>
      </c>
      <c r="B123" s="10" t="n">
        <v>46227</v>
      </c>
      <c r="C123" s="10">
        <f>IF(B123="","",EDATE(B123,12*(DATEDIF(B123,TODAY(),"y")+1)))</f>
        <v/>
      </c>
      <c r="D123" s="11">
        <f>IF(AND(K123="",F123=""),"",IF(OR(AND(K123&lt;&gt;"",TODAY()-K123&gt;=14),AND(F123&lt;&gt;"",TODAY()-F123&gt;=21)),"Red",IF(OR(AND(K123&lt;&gt;"",TODAY()-K123&gt;=7),AND(C123&lt;&gt;"",C123-TODAY()&lt;=30)),"Yellow","Green")))</f>
        <v/>
      </c>
      <c r="E123" s="12">
        <f>IF(K123="","",TODAY()-K123)</f>
        <v/>
      </c>
      <c r="F123" s="10">
        <f>IFERROR(1/(1/MAXIFS(Touchpoints!$A:$A,Touchpoints!$B:$B,A123)),"")</f>
        <v/>
      </c>
      <c r="G123" s="11">
        <f>IF(F123="","",TODAY()-F123)</f>
        <v/>
      </c>
      <c r="H123" s="11" t="n"/>
      <c r="I123" s="11" t="n"/>
      <c r="J123" s="11" t="n"/>
      <c r="K123" s="17" t="n">
        <v>46277</v>
      </c>
      <c r="L123" s="0" t="inlineStr">
        <is>
          <t>M-0122</t>
        </is>
      </c>
      <c r="M123" s="0" t="inlineStr">
        <is>
          <t>none</t>
        </is>
      </c>
      <c r="R123" t="inlineStr">
        <is>
          <t>ross.fairbanks@example.com</t>
        </is>
      </c>
      <c r="S123" t="n">
        <v>0</v>
      </c>
      <c r="T123" t="inlineStr">
        <is>
          <t>no</t>
        </is>
      </c>
    </row>
    <row r="124" ht="15.75" customHeight="1" s="18">
      <c r="A124" s="9" t="inlineStr">
        <is>
          <t>Jonah Radcliffe</t>
        </is>
      </c>
      <c r="B124" s="10" t="n">
        <v>46228</v>
      </c>
      <c r="C124" s="10">
        <f>IF(B124="","",EDATE(B124,12*(DATEDIF(B124,TODAY(),"y")+1)))</f>
        <v/>
      </c>
      <c r="D124" s="11">
        <f>IF(AND(K124="",F124=""),"",IF(OR(AND(K124&lt;&gt;"",TODAY()-K124&gt;=14),AND(F124&lt;&gt;"",TODAY()-F124&gt;=21)),"Red",IF(OR(AND(K124&lt;&gt;"",TODAY()-K124&gt;=7),AND(C124&lt;&gt;"",C124-TODAY()&lt;=30)),"Yellow","Green")))</f>
        <v/>
      </c>
      <c r="E124" s="12">
        <f>IF(K124="","",TODAY()-K124)</f>
        <v/>
      </c>
      <c r="F124" s="10">
        <f>IFERROR(1/(1/MAXIFS(Touchpoints!$A:$A,Touchpoints!$B:$B,A124)),"")</f>
        <v/>
      </c>
      <c r="G124" s="11">
        <f>IF(F124="","",TODAY()-F124)</f>
        <v/>
      </c>
      <c r="H124" s="11" t="n"/>
      <c r="I124" s="11" t="n"/>
      <c r="J124" s="11" t="n"/>
      <c r="K124" s="17" t="n">
        <v>46311</v>
      </c>
      <c r="L124" s="0" t="inlineStr">
        <is>
          <t>M-0123</t>
        </is>
      </c>
      <c r="M124" s="0" t="inlineStr">
        <is>
          <t>none</t>
        </is>
      </c>
      <c r="R124" t="inlineStr">
        <is>
          <t>jonah.radcliffe@example.com</t>
        </is>
      </c>
      <c r="S124" t="n">
        <v>2</v>
      </c>
      <c r="T124" t="inlineStr">
        <is>
          <t>yes</t>
        </is>
      </c>
    </row>
    <row r="125" ht="15.75" customHeight="1" s="18">
      <c r="A125" s="9" t="inlineStr">
        <is>
          <t>Ivan Winterbourne</t>
        </is>
      </c>
      <c r="B125" s="10" t="n">
        <v>46232</v>
      </c>
      <c r="C125" s="10">
        <f>IF(B125="","",EDATE(B125,12*(DATEDIF(B125,TODAY(),"y")+1)))</f>
        <v/>
      </c>
      <c r="D125" s="11">
        <f>IF(AND(K125="",F125=""),"",IF(OR(AND(K125&lt;&gt;"",TODAY()-K125&gt;=14),AND(F125&lt;&gt;"",TODAY()-F125&gt;=21)),"Red",IF(OR(AND(K125&lt;&gt;"",TODAY()-K125&gt;=7),AND(C125&lt;&gt;"",C125-TODAY()&lt;=30)),"Yellow","Green")))</f>
        <v/>
      </c>
      <c r="E125" s="12">
        <f>IF(K125="","",TODAY()-K125)</f>
        <v/>
      </c>
      <c r="F125" s="10">
        <f>IFERROR(1/(1/MAXIFS(Touchpoints!$A:$A,Touchpoints!$B:$B,A125)),"")</f>
        <v/>
      </c>
      <c r="G125" s="11">
        <f>IF(F125="","",TODAY()-F125)</f>
        <v/>
      </c>
      <c r="H125" s="11" t="n"/>
      <c r="I125" s="11" t="n"/>
      <c r="J125" s="11" t="n"/>
      <c r="K125" s="17" t="n">
        <v>46289</v>
      </c>
      <c r="L125" s="0" t="inlineStr">
        <is>
          <t>M-0124</t>
        </is>
      </c>
      <c r="M125" s="0" t="inlineStr">
        <is>
          <t>none</t>
        </is>
      </c>
      <c r="R125" t="inlineStr">
        <is>
          <t>ivan.winterbourne@example.com</t>
        </is>
      </c>
      <c r="S125" t="n">
        <v>0</v>
      </c>
      <c r="T125" t="inlineStr">
        <is>
          <t>no</t>
        </is>
      </c>
    </row>
    <row r="126" ht="15.75" customHeight="1" s="18">
      <c r="A126" s="9" t="inlineStr">
        <is>
          <t>Diego Northgate</t>
        </is>
      </c>
      <c r="B126" s="10" t="n">
        <v>46236</v>
      </c>
      <c r="C126" s="10">
        <f>IF(B126="","",EDATE(B126,12*(DATEDIF(B126,TODAY(),"y")+1)))</f>
        <v/>
      </c>
      <c r="D126" s="11">
        <f>IF(AND(K126="",F126=""),"",IF(OR(AND(K126&lt;&gt;"",TODAY()-K126&gt;=14),AND(F126&lt;&gt;"",TODAY()-F126&gt;=21)),"Red",IF(OR(AND(K126&lt;&gt;"",TODAY()-K126&gt;=7),AND(C126&lt;&gt;"",C126-TODAY()&lt;=30)),"Yellow","Green")))</f>
        <v/>
      </c>
      <c r="E126" s="12">
        <f>IF(K126="","",TODAY()-K126)</f>
        <v/>
      </c>
      <c r="F126" s="10">
        <f>IFERROR(1/(1/MAXIFS(Touchpoints!$A:$A,Touchpoints!$B:$B,A126)),"")</f>
        <v/>
      </c>
      <c r="G126" s="11">
        <f>IF(F126="","",TODAY()-F126)</f>
        <v/>
      </c>
      <c r="H126" s="11" t="n"/>
      <c r="I126" s="11" t="n"/>
      <c r="J126" s="11" t="n"/>
      <c r="K126" s="17" t="n">
        <v>46311</v>
      </c>
      <c r="L126" s="0" t="inlineStr">
        <is>
          <t>M-0125</t>
        </is>
      </c>
      <c r="M126" s="0" t="inlineStr">
        <is>
          <t>none</t>
        </is>
      </c>
      <c r="R126" t="inlineStr">
        <is>
          <t>diego.northgate@example.com</t>
        </is>
      </c>
      <c r="S126" t="n">
        <v>16</v>
      </c>
      <c r="T126" t="inlineStr">
        <is>
          <t>yes</t>
        </is>
      </c>
    </row>
    <row r="127" ht="15.75" customHeight="1" s="18">
      <c r="A127" s="9" t="inlineStr">
        <is>
          <t>Karl Ashcombe</t>
        </is>
      </c>
      <c r="B127" s="10" t="n">
        <v>46236</v>
      </c>
      <c r="C127" s="10">
        <f>IF(B127="","",EDATE(B127,12*(DATEDIF(B127,TODAY(),"y")+1)))</f>
        <v/>
      </c>
      <c r="D127" s="11">
        <f>IF(AND(K127="",F127=""),"",IF(OR(AND(K127&lt;&gt;"",TODAY()-K127&gt;=14),AND(F127&lt;&gt;"",TODAY()-F127&gt;=21)),"Red",IF(OR(AND(K127&lt;&gt;"",TODAY()-K127&gt;=7),AND(C127&lt;&gt;"",C127-TODAY()&lt;=30)),"Yellow","Green")))</f>
        <v/>
      </c>
      <c r="E127" s="12">
        <f>IF(K127="","",TODAY()-K127)</f>
        <v/>
      </c>
      <c r="F127" s="10">
        <f>IFERROR(1/(1/MAXIFS(Touchpoints!$A:$A,Touchpoints!$B:$B,A127)),"")</f>
        <v/>
      </c>
      <c r="G127" s="11">
        <f>IF(F127="","",TODAY()-F127)</f>
        <v/>
      </c>
      <c r="H127" s="11" t="n"/>
      <c r="I127" s="11" t="n"/>
      <c r="J127" s="11" t="n"/>
      <c r="K127" s="17" t="n">
        <v>46310</v>
      </c>
      <c r="L127" s="0" t="inlineStr">
        <is>
          <t>M-0126</t>
        </is>
      </c>
      <c r="M127" s="0" t="inlineStr">
        <is>
          <t>none</t>
        </is>
      </c>
      <c r="R127" t="inlineStr">
        <is>
          <t>karl.ashcombe@example.com</t>
        </is>
      </c>
      <c r="S127" t="n">
        <v>0</v>
      </c>
      <c r="T127" t="inlineStr">
        <is>
          <t>no</t>
        </is>
      </c>
    </row>
    <row r="128" ht="15.75" customHeight="1" s="18">
      <c r="A128" s="9" t="inlineStr">
        <is>
          <t>Simon Pemberton</t>
        </is>
      </c>
      <c r="B128" s="10" t="n">
        <v>46237</v>
      </c>
      <c r="C128" s="10">
        <f>IF(B128="","",EDATE(B128,12*(DATEDIF(B128,TODAY(),"y")+1)))</f>
        <v/>
      </c>
      <c r="D128" s="11">
        <f>IF(AND(K128="",F128=""),"",IF(OR(AND(K128&lt;&gt;"",TODAY()-K128&gt;=14),AND(F128&lt;&gt;"",TODAY()-F128&gt;=21)),"Red",IF(OR(AND(K128&lt;&gt;"",TODAY()-K128&gt;=7),AND(C128&lt;&gt;"",C128-TODAY()&lt;=30)),"Yellow","Green")))</f>
        <v/>
      </c>
      <c r="E128" s="12">
        <f>IF(K128="","",TODAY()-K128)</f>
        <v/>
      </c>
      <c r="F128" s="10">
        <f>IFERROR(1/(1/MAXIFS(Touchpoints!$A:$A,Touchpoints!$B:$B,A128)),"")</f>
        <v/>
      </c>
      <c r="G128" s="11">
        <f>IF(F128="","",TODAY()-F128)</f>
        <v/>
      </c>
      <c r="H128" s="11" t="n"/>
      <c r="I128" s="11" t="n"/>
      <c r="J128" s="11" t="n"/>
      <c r="K128" s="17" t="n">
        <v>46311</v>
      </c>
      <c r="L128" s="0" t="inlineStr">
        <is>
          <t>M-0127</t>
        </is>
      </c>
      <c r="M128" s="0" t="inlineStr">
        <is>
          <t>none</t>
        </is>
      </c>
      <c r="R128" t="inlineStr">
        <is>
          <t>simon.pemberton@example.com</t>
        </is>
      </c>
      <c r="S128" t="n">
        <v>0</v>
      </c>
      <c r="T128" t="inlineStr">
        <is>
          <t>no</t>
        </is>
      </c>
    </row>
    <row r="129" ht="15.75" customHeight="1" s="18">
      <c r="A129" s="9" t="inlineStr">
        <is>
          <t>Marcus Selwyn</t>
        </is>
      </c>
      <c r="B129" s="10" t="n">
        <v>46239</v>
      </c>
      <c r="C129" s="10">
        <f>IF(B129="","",EDATE(B129,12*(DATEDIF(B129,TODAY(),"y")+1)))</f>
        <v/>
      </c>
      <c r="D129" s="11">
        <f>IF(AND(K129="",F129=""),"",IF(OR(AND(K129&lt;&gt;"",TODAY()-K129&gt;=14),AND(F129&lt;&gt;"",TODAY()-F129&gt;=21)),"Red",IF(OR(AND(K129&lt;&gt;"",TODAY()-K129&gt;=7),AND(C129&lt;&gt;"",C129-TODAY()&lt;=30)),"Yellow","Green")))</f>
        <v/>
      </c>
      <c r="E129" s="12">
        <f>IF(K129="","",TODAY()-K129)</f>
        <v/>
      </c>
      <c r="F129" s="10">
        <f>IFERROR(1/(1/MAXIFS(Touchpoints!$A:$A,Touchpoints!$B:$B,A129)),"")</f>
        <v/>
      </c>
      <c r="G129" s="11">
        <f>IF(F129="","",TODAY()-F129)</f>
        <v/>
      </c>
      <c r="H129" s="11" t="n"/>
      <c r="I129" s="11" t="n"/>
      <c r="J129" s="11" t="n"/>
      <c r="K129" s="17" t="n">
        <v>46311</v>
      </c>
      <c r="L129" s="0" t="inlineStr">
        <is>
          <t>M-0128</t>
        </is>
      </c>
      <c r="M129" s="0" t="inlineStr">
        <is>
          <t>none</t>
        </is>
      </c>
      <c r="R129" t="inlineStr">
        <is>
          <t>marcus.selwyn@example.com</t>
        </is>
      </c>
      <c r="S129" t="n">
        <v>37</v>
      </c>
      <c r="T129" t="inlineStr">
        <is>
          <t>yes</t>
        </is>
      </c>
    </row>
    <row r="130" ht="15.75" customHeight="1" s="18">
      <c r="A130" s="9" t="inlineStr">
        <is>
          <t>Martin Draper</t>
        </is>
      </c>
      <c r="B130" s="10" t="n">
        <v>46240</v>
      </c>
      <c r="C130" s="10">
        <f>IF(B130="","",EDATE(B130,12*(DATEDIF(B130,TODAY(),"y")+1)))</f>
        <v/>
      </c>
      <c r="D130" s="11">
        <f>IF(AND(K130="",F130=""),"",IF(OR(AND(K130&lt;&gt;"",TODAY()-K130&gt;=14),AND(F130&lt;&gt;"",TODAY()-F130&gt;=21)),"Red",IF(OR(AND(K130&lt;&gt;"",TODAY()-K130&gt;=7),AND(C130&lt;&gt;"",C130-TODAY()&lt;=30)),"Yellow","Green")))</f>
        <v/>
      </c>
      <c r="E130" s="12">
        <f>IF(K130="","",TODAY()-K130)</f>
        <v/>
      </c>
      <c r="F130" s="10">
        <f>IFERROR(1/(1/MAXIFS(Touchpoints!$A:$A,Touchpoints!$B:$B,A130)),"")</f>
        <v/>
      </c>
      <c r="G130" s="11">
        <f>IF(F130="","",TODAY()-F130)</f>
        <v/>
      </c>
      <c r="H130" s="11" t="n"/>
      <c r="I130" s="11" t="n"/>
      <c r="J130" s="11" t="n"/>
      <c r="K130" s="17" t="n">
        <v>46276</v>
      </c>
      <c r="L130" s="0" t="inlineStr">
        <is>
          <t>M-0129</t>
        </is>
      </c>
      <c r="M130" s="0" t="inlineStr">
        <is>
          <t>none</t>
        </is>
      </c>
      <c r="R130" t="inlineStr">
        <is>
          <t>martin.draper@example.com</t>
        </is>
      </c>
      <c r="S130" t="n">
        <v>6</v>
      </c>
      <c r="T130" t="inlineStr">
        <is>
          <t>yes</t>
        </is>
      </c>
    </row>
    <row r="131" ht="15.75" customHeight="1" s="18">
      <c r="A131" s="9" t="inlineStr">
        <is>
          <t>Raymond Jamison</t>
        </is>
      </c>
      <c r="B131" s="10" t="n">
        <v>46241</v>
      </c>
      <c r="C131" s="10">
        <f>IF(B131="","",EDATE(B131,12*(DATEDIF(B131,TODAY(),"y")+1)))</f>
        <v/>
      </c>
      <c r="D131" s="11">
        <f>IF(AND(K131="",F131=""),"",IF(OR(AND(K131&lt;&gt;"",TODAY()-K131&gt;=14),AND(F131&lt;&gt;"",TODAY()-F131&gt;=21)),"Red",IF(OR(AND(K131&lt;&gt;"",TODAY()-K131&gt;=7),AND(C131&lt;&gt;"",C131-TODAY()&lt;=30)),"Yellow","Green")))</f>
        <v/>
      </c>
      <c r="E131" s="12">
        <f>IF(K131="","",TODAY()-K131)</f>
        <v/>
      </c>
      <c r="F131" s="10">
        <f>IFERROR(1/(1/MAXIFS(Touchpoints!$A:$A,Touchpoints!$B:$B,A131)),"")</f>
        <v/>
      </c>
      <c r="G131" s="11">
        <f>IF(F131="","",TODAY()-F131)</f>
        <v/>
      </c>
      <c r="H131" s="11" t="n"/>
      <c r="I131" s="11" t="n"/>
      <c r="J131" s="11" t="n"/>
      <c r="K131" s="17" t="n">
        <v>46305</v>
      </c>
      <c r="L131" s="0" t="inlineStr">
        <is>
          <t>M-0130</t>
        </is>
      </c>
      <c r="M131" s="0" t="inlineStr">
        <is>
          <t>none</t>
        </is>
      </c>
      <c r="R131" t="inlineStr">
        <is>
          <t>raymond.jamison@example.com</t>
        </is>
      </c>
      <c r="S131" t="n">
        <v>29</v>
      </c>
      <c r="T131" t="inlineStr">
        <is>
          <t>yes</t>
        </is>
      </c>
    </row>
    <row r="132" ht="15.75" customHeight="1" s="18">
      <c r="A132" s="9" t="inlineStr">
        <is>
          <t>Vernon Hollingsworth</t>
        </is>
      </c>
      <c r="B132" s="10" t="n">
        <v>46241</v>
      </c>
      <c r="C132" s="10">
        <f>IF(B132="","",EDATE(B132,12*(DATEDIF(B132,TODAY(),"y")+1)))</f>
        <v/>
      </c>
      <c r="D132" s="11">
        <f>IF(AND(K132="",F132=""),"",IF(OR(AND(K132&lt;&gt;"",TODAY()-K132&gt;=14),AND(F132&lt;&gt;"",TODAY()-F132&gt;=21)),"Red",IF(OR(AND(K132&lt;&gt;"",TODAY()-K132&gt;=7),AND(C132&lt;&gt;"",C132-TODAY()&lt;=30)),"Yellow","Green")))</f>
        <v/>
      </c>
      <c r="E132" s="12">
        <f>IF(K132="","",TODAY()-K132)</f>
        <v/>
      </c>
      <c r="F132" s="10">
        <f>IFERROR(1/(1/MAXIFS(Touchpoints!$A:$A,Touchpoints!$B:$B,A132)),"")</f>
        <v/>
      </c>
      <c r="G132" s="11">
        <f>IF(F132="","",TODAY()-F132)</f>
        <v/>
      </c>
      <c r="H132" s="11" t="n"/>
      <c r="I132" s="11" t="n"/>
      <c r="J132" s="11" t="n"/>
      <c r="K132" s="17" t="n">
        <v>46311</v>
      </c>
      <c r="L132" s="0" t="inlineStr">
        <is>
          <t>M-0131</t>
        </is>
      </c>
      <c r="M132" s="0" t="inlineStr">
        <is>
          <t>none</t>
        </is>
      </c>
      <c r="R132" t="inlineStr">
        <is>
          <t>vernon.hollingsworth@example.com</t>
        </is>
      </c>
      <c r="S132" t="n">
        <v>34</v>
      </c>
      <c r="T132" t="inlineStr">
        <is>
          <t>yes</t>
        </is>
      </c>
    </row>
    <row r="133" ht="15.75" customHeight="1" s="18">
      <c r="A133" s="9" t="inlineStr">
        <is>
          <t>Caleb Pemberton</t>
        </is>
      </c>
      <c r="B133" s="10" t="n">
        <v>46243</v>
      </c>
      <c r="C133" s="10">
        <f>IF(B133="","",EDATE(B133,12*(DATEDIF(B133,TODAY(),"y")+1)))</f>
        <v/>
      </c>
      <c r="D133" s="11">
        <f>IF(AND(K133="",F133=""),"",IF(OR(AND(K133&lt;&gt;"",TODAY()-K133&gt;=14),AND(F133&lt;&gt;"",TODAY()-F133&gt;=21)),"Red",IF(OR(AND(K133&lt;&gt;"",TODAY()-K133&gt;=7),AND(C133&lt;&gt;"",C133-TODAY()&lt;=30)),"Yellow","Green")))</f>
        <v/>
      </c>
      <c r="E133" s="12">
        <f>IF(K133="","",TODAY()-K133)</f>
        <v/>
      </c>
      <c r="F133" s="10">
        <f>IFERROR(1/(1/MAXIFS(Touchpoints!$A:$A,Touchpoints!$B:$B,A133)),"")</f>
        <v/>
      </c>
      <c r="G133" s="11">
        <f>IF(F133="","",TODAY()-F133)</f>
        <v/>
      </c>
      <c r="H133" s="11" t="n"/>
      <c r="I133" s="11" t="n"/>
      <c r="J133" s="11" t="n"/>
      <c r="K133" s="17" t="n">
        <v>46311</v>
      </c>
      <c r="L133" s="0" t="inlineStr">
        <is>
          <t>M-0132</t>
        </is>
      </c>
      <c r="M133" s="0" t="inlineStr">
        <is>
          <t>none</t>
        </is>
      </c>
      <c r="R133" t="inlineStr">
        <is>
          <t>caleb.pemberton@example.com</t>
        </is>
      </c>
      <c r="S133" t="n">
        <v>9</v>
      </c>
      <c r="T133" t="inlineStr">
        <is>
          <t>yes</t>
        </is>
      </c>
    </row>
    <row r="134" ht="15.75" customHeight="1" s="18">
      <c r="A134" s="9" t="inlineStr">
        <is>
          <t>Cedric Zeigler</t>
        </is>
      </c>
      <c r="B134" s="10" t="n">
        <v>46243</v>
      </c>
      <c r="C134" s="10">
        <f>IF(B134="","",EDATE(B134,12*(DATEDIF(B134,TODAY(),"y")+1)))</f>
        <v/>
      </c>
      <c r="D134" s="11">
        <f>IF(AND(K134="",F134=""),"",IF(OR(AND(K134&lt;&gt;"",TODAY()-K134&gt;=14),AND(F134&lt;&gt;"",TODAY()-F134&gt;=21)),"Red",IF(OR(AND(K134&lt;&gt;"",TODAY()-K134&gt;=7),AND(C134&lt;&gt;"",C134-TODAY()&lt;=30)),"Yellow","Green")))</f>
        <v/>
      </c>
      <c r="E134" s="12">
        <f>IF(K134="","",TODAY()-K134)</f>
        <v/>
      </c>
      <c r="F134" s="10">
        <f>IFERROR(1/(1/MAXIFS(Touchpoints!$A:$A,Touchpoints!$B:$B,A134)),"")</f>
        <v/>
      </c>
      <c r="G134" s="11">
        <f>IF(F134="","",TODAY()-F134)</f>
        <v/>
      </c>
      <c r="H134" s="11" t="n"/>
      <c r="I134" s="11" t="n"/>
      <c r="J134" s="11" t="n"/>
      <c r="K134" s="17" t="n">
        <v>46269</v>
      </c>
      <c r="L134" s="0" t="inlineStr">
        <is>
          <t>M-0133</t>
        </is>
      </c>
      <c r="M134" s="0" t="inlineStr">
        <is>
          <t>none</t>
        </is>
      </c>
      <c r="R134" t="inlineStr">
        <is>
          <t>cedric.zeigler@example.com</t>
        </is>
      </c>
      <c r="S134" t="n">
        <v>2</v>
      </c>
      <c r="T134" t="inlineStr">
        <is>
          <t>yes</t>
        </is>
      </c>
    </row>
    <row r="135" ht="15.75" customHeight="1" s="18">
      <c r="A135" s="9" t="inlineStr">
        <is>
          <t>Hugo Clayborne</t>
        </is>
      </c>
      <c r="B135" s="10" t="n">
        <v>46244</v>
      </c>
      <c r="C135" s="10">
        <f>IF(B135="","",EDATE(B135,12*(DATEDIF(B135,TODAY(),"y")+1)))</f>
        <v/>
      </c>
      <c r="D135" s="11">
        <f>IF(AND(K135="",F135=""),"",IF(OR(AND(K135&lt;&gt;"",TODAY()-K135&gt;=14),AND(F135&lt;&gt;"",TODAY()-F135&gt;=21)),"Red",IF(OR(AND(K135&lt;&gt;"",TODAY()-K135&gt;=7),AND(C135&lt;&gt;"",C135-TODAY()&lt;=30)),"Yellow","Green")))</f>
        <v/>
      </c>
      <c r="E135" s="12">
        <f>IF(K135="","",TODAY()-K135)</f>
        <v/>
      </c>
      <c r="F135" s="10">
        <f>IFERROR(1/(1/MAXIFS(Touchpoints!$A:$A,Touchpoints!$B:$B,A135)),"")</f>
        <v/>
      </c>
      <c r="G135" s="11">
        <f>IF(F135="","",TODAY()-F135)</f>
        <v/>
      </c>
      <c r="H135" s="11" t="n"/>
      <c r="I135" s="11" t="n"/>
      <c r="J135" s="11" t="n"/>
      <c r="K135" s="17" t="n">
        <v>46242</v>
      </c>
      <c r="L135" s="0" t="inlineStr">
        <is>
          <t>M-0134</t>
        </is>
      </c>
      <c r="M135" s="0" t="inlineStr">
        <is>
          <t>none</t>
        </is>
      </c>
      <c r="R135" t="inlineStr">
        <is>
          <t>hugo.clayborne@example.com</t>
        </is>
      </c>
      <c r="S135" t="n">
        <v>23</v>
      </c>
      <c r="T135" t="inlineStr">
        <is>
          <t>yes</t>
        </is>
      </c>
    </row>
    <row r="136" ht="15.75" customHeight="1" s="18">
      <c r="A136" s="9" t="inlineStr">
        <is>
          <t>Ulysses Hollingsworth</t>
        </is>
      </c>
      <c r="B136" s="10" t="n">
        <v>45883</v>
      </c>
      <c r="C136" s="10">
        <f>IF(B136="","",EDATE(B136,12*(DATEDIF(B136,TODAY(),"y")+1)))</f>
        <v/>
      </c>
      <c r="D136" s="11">
        <f>IF(AND(K136="",F136=""),"",IF(OR(AND(K136&lt;&gt;"",TODAY()-K136&gt;=14),AND(F136&lt;&gt;"",TODAY()-F136&gt;=21)),"Red",IF(OR(AND(K136&lt;&gt;"",TODAY()-K136&gt;=7),AND(C136&lt;&gt;"",C136-TODAY()&lt;=30)),"Yellow","Green")))</f>
        <v/>
      </c>
      <c r="E136" s="12">
        <f>IF(K136="","",TODAY()-K136)</f>
        <v/>
      </c>
      <c r="F136" s="10">
        <f>IFERROR(1/(1/MAXIFS(Touchpoints!$A:$A,Touchpoints!$B:$B,A136)),"")</f>
        <v/>
      </c>
      <c r="G136" s="11">
        <f>IF(F136="","",TODAY()-F136)</f>
        <v/>
      </c>
      <c r="H136" s="11" t="n"/>
      <c r="I136" s="11" t="n"/>
      <c r="J136" s="11" t="n"/>
      <c r="K136" s="17" t="n">
        <v>46300</v>
      </c>
      <c r="L136" s="0" t="inlineStr">
        <is>
          <t>M-0135</t>
        </is>
      </c>
      <c r="M136" s="0" t="inlineStr">
        <is>
          <t>none</t>
        </is>
      </c>
      <c r="R136" t="inlineStr">
        <is>
          <t>ulysses.hollingsworth@example.com</t>
        </is>
      </c>
      <c r="S136" t="n">
        <v>20</v>
      </c>
      <c r="T136" t="inlineStr">
        <is>
          <t>yes</t>
        </is>
      </c>
    </row>
    <row r="137" ht="15.75" customHeight="1" s="18">
      <c r="A137" s="9" t="inlineStr">
        <is>
          <t>Wallace Pruitt</t>
        </is>
      </c>
      <c r="B137" s="10" t="n">
        <v>45883</v>
      </c>
      <c r="C137" s="10">
        <f>IF(B137="","",EDATE(B137,12*(DATEDIF(B137,TODAY(),"y")+1)))</f>
        <v/>
      </c>
      <c r="D137" s="11">
        <f>IF(AND(K137="",F137=""),"",IF(OR(AND(K137&lt;&gt;"",TODAY()-K137&gt;=14),AND(F137&lt;&gt;"",TODAY()-F137&gt;=21)),"Red",IF(OR(AND(K137&lt;&gt;"",TODAY()-K137&gt;=7),AND(C137&lt;&gt;"",C137-TODAY()&lt;=30)),"Yellow","Green")))</f>
        <v/>
      </c>
      <c r="E137" s="12">
        <f>IF(K137="","",TODAY()-K137)</f>
        <v/>
      </c>
      <c r="F137" s="10">
        <f>IFERROR(1/(1/MAXIFS(Touchpoints!$A:$A,Touchpoints!$B:$B,A137)),"")</f>
        <v/>
      </c>
      <c r="G137" s="11">
        <f>IF(F137="","",TODAY()-F137)</f>
        <v/>
      </c>
      <c r="H137" s="11" t="n"/>
      <c r="I137" s="11" t="n"/>
      <c r="J137" s="11" t="n"/>
      <c r="K137" s="17" t="n">
        <v>46308</v>
      </c>
      <c r="L137" s="0" t="inlineStr">
        <is>
          <t>M-0136</t>
        </is>
      </c>
      <c r="M137" s="0" t="inlineStr">
        <is>
          <t>none</t>
        </is>
      </c>
      <c r="R137" t="inlineStr">
        <is>
          <t>wallace.pruitt@example.com</t>
        </is>
      </c>
      <c r="S137" t="n">
        <v>3</v>
      </c>
      <c r="T137" t="inlineStr">
        <is>
          <t>yes</t>
        </is>
      </c>
    </row>
    <row r="138" ht="15.75" customHeight="1" s="18">
      <c r="A138" s="9" t="inlineStr">
        <is>
          <t>Andrei Upshaw</t>
        </is>
      </c>
      <c r="B138" s="10" t="n">
        <v>46250</v>
      </c>
      <c r="C138" s="10">
        <f>IF(B138="","",EDATE(B138,12*(DATEDIF(B138,TODAY(),"y")+1)))</f>
        <v/>
      </c>
      <c r="D138" s="11">
        <f>IF(AND(K138="",F138=""),"",IF(OR(AND(K138&lt;&gt;"",TODAY()-K138&gt;=14),AND(F138&lt;&gt;"",TODAY()-F138&gt;=21)),"Red",IF(OR(AND(K138&lt;&gt;"",TODAY()-K138&gt;=7),AND(C138&lt;&gt;"",C138-TODAY()&lt;=30)),"Yellow","Green")))</f>
        <v/>
      </c>
      <c r="E138" s="12">
        <f>IF(K138="","",TODAY()-K138)</f>
        <v/>
      </c>
      <c r="F138" s="10">
        <f>IFERROR(1/(1/MAXIFS(Touchpoints!$A:$A,Touchpoints!$B:$B,A138)),"")</f>
        <v/>
      </c>
      <c r="G138" s="11">
        <f>IF(F138="","",TODAY()-F138)</f>
        <v/>
      </c>
      <c r="H138" s="11" t="inlineStr">
        <is>
          <t>lose the fear of public speaking</t>
        </is>
      </c>
      <c r="I138" s="11" t="n"/>
      <c r="J138" s="11" t="n"/>
      <c r="K138" s="17" t="n">
        <v>46135</v>
      </c>
      <c r="L138" s="0" t="inlineStr">
        <is>
          <t>M-0137</t>
        </is>
      </c>
      <c r="M138" s="0" t="inlineStr">
        <is>
          <t>none</t>
        </is>
      </c>
      <c r="R138" t="inlineStr">
        <is>
          <t>andrei.upshaw@example.com</t>
        </is>
      </c>
      <c r="S138" t="n">
        <v>0</v>
      </c>
      <c r="T138" t="inlineStr">
        <is>
          <t>no</t>
        </is>
      </c>
    </row>
    <row r="139" ht="15.75" customHeight="1" s="18">
      <c r="A139" s="9" t="inlineStr">
        <is>
          <t>Gavin Ellsworth</t>
        </is>
      </c>
      <c r="B139" s="10" t="n">
        <v>46251</v>
      </c>
      <c r="C139" s="10">
        <f>IF(B139="","",EDATE(B139,12*(DATEDIF(B139,TODAY(),"y")+1)))</f>
        <v/>
      </c>
      <c r="D139" s="11">
        <f>IF(AND(K139="",F139=""),"",IF(OR(AND(K139&lt;&gt;"",TODAY()-K139&gt;=14),AND(F139&lt;&gt;"",TODAY()-F139&gt;=21)),"Red",IF(OR(AND(K139&lt;&gt;"",TODAY()-K139&gt;=7),AND(C139&lt;&gt;"",C139-TODAY()&lt;=30)),"Yellow","Green")))</f>
        <v/>
      </c>
      <c r="E139" s="12">
        <f>IF(K139="","",TODAY()-K139)</f>
        <v/>
      </c>
      <c r="F139" s="10">
        <f>IFERROR(1/(1/MAXIFS(Touchpoints!$A:$A,Touchpoints!$B:$B,A139)),"")</f>
        <v/>
      </c>
      <c r="G139" s="11">
        <f>IF(F139="","",TODAY()-F139)</f>
        <v/>
      </c>
      <c r="H139" s="11" t="n"/>
      <c r="I139" s="11" t="n"/>
      <c r="J139" s="11" t="n"/>
      <c r="K139" s="17" t="n">
        <v>46309</v>
      </c>
      <c r="L139" s="0" t="inlineStr">
        <is>
          <t>M-0138</t>
        </is>
      </c>
      <c r="M139" s="0" t="inlineStr">
        <is>
          <t>none</t>
        </is>
      </c>
      <c r="R139" t="inlineStr">
        <is>
          <t>gavin.ellsworth@example.com</t>
        </is>
      </c>
      <c r="S139" t="n">
        <v>31</v>
      </c>
      <c r="T139" t="inlineStr">
        <is>
          <t>yes</t>
        </is>
      </c>
    </row>
    <row r="140" ht="15.75" customHeight="1" s="18">
      <c r="A140" s="9" t="inlineStr">
        <is>
          <t>Caleb Islington</t>
        </is>
      </c>
      <c r="B140" s="10" t="n">
        <v>46254</v>
      </c>
      <c r="C140" s="10">
        <f>IF(B140="","",EDATE(B140,12*(DATEDIF(B140,TODAY(),"y")+1)))</f>
        <v/>
      </c>
      <c r="D140" s="11">
        <f>IF(AND(K140="",F140=""),"",IF(OR(AND(K140&lt;&gt;"",TODAY()-K140&gt;=14),AND(F140&lt;&gt;"",TODAY()-F140&gt;=21)),"Red",IF(OR(AND(K140&lt;&gt;"",TODAY()-K140&gt;=7),AND(C140&lt;&gt;"",C140-TODAY()&lt;=30)),"Yellow","Green")))</f>
        <v/>
      </c>
      <c r="E140" s="12">
        <f>IF(K140="","",TODAY()-K140)</f>
        <v/>
      </c>
      <c r="F140" s="10">
        <f>IFERROR(1/(1/MAXIFS(Touchpoints!$A:$A,Touchpoints!$B:$B,A140)),"")</f>
        <v/>
      </c>
      <c r="G140" s="11">
        <f>IF(F140="","",TODAY()-F140)</f>
        <v/>
      </c>
      <c r="H140" s="11" t="n"/>
      <c r="I140" s="11" t="n"/>
      <c r="J140" s="11" t="n"/>
      <c r="K140" s="17" t="n">
        <v>46302</v>
      </c>
      <c r="L140" s="0" t="inlineStr">
        <is>
          <t>M-0139</t>
        </is>
      </c>
      <c r="M140" s="0" t="inlineStr">
        <is>
          <t>none</t>
        </is>
      </c>
      <c r="R140" t="inlineStr">
        <is>
          <t>caleb.islington@example.com</t>
        </is>
      </c>
      <c r="S140" t="n">
        <v>0</v>
      </c>
      <c r="T140" t="inlineStr">
        <is>
          <t>no</t>
        </is>
      </c>
    </row>
    <row r="141" ht="15.75" customHeight="1" s="18">
      <c r="A141" s="9" t="inlineStr">
        <is>
          <t>Erik Ostrander</t>
        </is>
      </c>
      <c r="B141" s="10" t="n">
        <v>46255</v>
      </c>
      <c r="C141" s="10">
        <f>IF(B141="","",EDATE(B141,12*(DATEDIF(B141,TODAY(),"y")+1)))</f>
        <v/>
      </c>
      <c r="D141" s="11">
        <f>IF(AND(K141="",F141=""),"",IF(OR(AND(K141&lt;&gt;"",TODAY()-K141&gt;=14),AND(F141&lt;&gt;"",TODAY()-F141&gt;=21)),"Red",IF(OR(AND(K141&lt;&gt;"",TODAY()-K141&gt;=7),AND(C141&lt;&gt;"",C141-TODAY()&lt;=30)),"Yellow","Green")))</f>
        <v/>
      </c>
      <c r="E141" s="12">
        <f>IF(K141="","",TODAY()-K141)</f>
        <v/>
      </c>
      <c r="F141" s="10">
        <f>IFERROR(1/(1/MAXIFS(Touchpoints!$A:$A,Touchpoints!$B:$B,A141)),"")</f>
        <v/>
      </c>
      <c r="G141" s="11">
        <f>IF(F141="","",TODAY()-F141)</f>
        <v/>
      </c>
      <c r="H141" s="11" t="n"/>
      <c r="I141" s="11" t="n"/>
      <c r="J141" s="11" t="n"/>
      <c r="K141" s="17" t="n">
        <v>46307</v>
      </c>
      <c r="L141" s="0" t="inlineStr">
        <is>
          <t>M-0140</t>
        </is>
      </c>
      <c r="M141" s="0" t="inlineStr">
        <is>
          <t>none</t>
        </is>
      </c>
      <c r="R141" t="inlineStr">
        <is>
          <t>erik.ostrander@example.com</t>
        </is>
      </c>
      <c r="S141" t="n">
        <v>9</v>
      </c>
      <c r="T141" t="inlineStr">
        <is>
          <t>yes</t>
        </is>
      </c>
    </row>
    <row r="142" ht="15.75" customHeight="1" s="18">
      <c r="A142" s="9" t="inlineStr">
        <is>
          <t>Luca Upton</t>
        </is>
      </c>
      <c r="B142" s="10" t="n">
        <v>45893</v>
      </c>
      <c r="C142" s="10">
        <f>IF(B142="","",EDATE(B142,12*(DATEDIF(B142,TODAY(),"y")+1)))</f>
        <v/>
      </c>
      <c r="D142" s="11">
        <f>IF(AND(K142="",F142=""),"",IF(OR(AND(K142&lt;&gt;"",TODAY()-K142&gt;=14),AND(F142&lt;&gt;"",TODAY()-F142&gt;=21)),"Red",IF(OR(AND(K142&lt;&gt;"",TODAY()-K142&gt;=7),AND(C142&lt;&gt;"",C142-TODAY()&lt;=30)),"Yellow","Green")))</f>
        <v/>
      </c>
      <c r="E142" s="12">
        <f>IF(K142="","",TODAY()-K142)</f>
        <v/>
      </c>
      <c r="F142" s="10">
        <f>IFERROR(1/(1/MAXIFS(Touchpoints!$A:$A,Touchpoints!$B:$B,A142)),"")</f>
        <v/>
      </c>
      <c r="G142" s="11">
        <f>IF(F142="","",TODAY()-F142)</f>
        <v/>
      </c>
      <c r="H142" s="11" t="n"/>
      <c r="I142" s="11" t="n"/>
      <c r="J142" s="11" t="n"/>
      <c r="K142" s="17" t="n">
        <v>46304</v>
      </c>
      <c r="L142" s="0" t="inlineStr">
        <is>
          <t>M-0141</t>
        </is>
      </c>
      <c r="M142" s="0" t="inlineStr">
        <is>
          <t>none</t>
        </is>
      </c>
      <c r="R142" t="inlineStr">
        <is>
          <t>luca.upton@example.com</t>
        </is>
      </c>
      <c r="S142" t="n">
        <v>5</v>
      </c>
      <c r="T142" t="inlineStr">
        <is>
          <t>yes</t>
        </is>
      </c>
    </row>
    <row r="143" ht="15.75" customHeight="1" s="18">
      <c r="A143" s="9" t="inlineStr">
        <is>
          <t>Ivan Hollowell</t>
        </is>
      </c>
      <c r="B143" s="10" t="n">
        <v>46258</v>
      </c>
      <c r="C143" s="10">
        <f>IF(B143="","",EDATE(B143,12*(DATEDIF(B143,TODAY(),"y")+1)))</f>
        <v/>
      </c>
      <c r="D143" s="11">
        <f>IF(AND(K143="",F143=""),"",IF(OR(AND(K143&lt;&gt;"",TODAY()-K143&gt;=14),AND(F143&lt;&gt;"",TODAY()-F143&gt;=21)),"Red",IF(OR(AND(K143&lt;&gt;"",TODAY()-K143&gt;=7),AND(C143&lt;&gt;"",C143-TODAY()&lt;=30)),"Yellow","Green")))</f>
        <v/>
      </c>
      <c r="E143" s="12">
        <f>IF(K143="","",TODAY()-K143)</f>
        <v/>
      </c>
      <c r="F143" s="10">
        <f>IFERROR(1/(1/MAXIFS(Touchpoints!$A:$A,Touchpoints!$B:$B,A143)),"")</f>
        <v/>
      </c>
      <c r="G143" s="11">
        <f>IF(F143="","",TODAY()-F143)</f>
        <v/>
      </c>
      <c r="H143" s="11" t="n"/>
      <c r="I143" s="11" t="n"/>
      <c r="J143" s="11" t="n"/>
      <c r="K143" s="17" t="n">
        <v>46009</v>
      </c>
      <c r="L143" s="0" t="inlineStr">
        <is>
          <t>M-0142</t>
        </is>
      </c>
      <c r="M143" s="0" t="inlineStr">
        <is>
          <t>none</t>
        </is>
      </c>
      <c r="R143" t="inlineStr">
        <is>
          <t>ivan.hollowell@example.com</t>
        </is>
      </c>
      <c r="S143" t="n">
        <v>0</v>
      </c>
      <c r="T143" t="inlineStr">
        <is>
          <t>no</t>
        </is>
      </c>
    </row>
    <row r="144" ht="15.75" customHeight="1" s="18">
      <c r="A144" s="9" t="inlineStr">
        <is>
          <t>Archer Nesbitt</t>
        </is>
      </c>
      <c r="B144" s="10" t="n">
        <v>46262</v>
      </c>
      <c r="C144" s="10">
        <f>IF(B144="","",EDATE(B144,12*(DATEDIF(B144,TODAY(),"y")+1)))</f>
        <v/>
      </c>
      <c r="D144" s="11">
        <f>IF(AND(K144="",F144=""),"",IF(OR(AND(K144&lt;&gt;"",TODAY()-K144&gt;=14),AND(F144&lt;&gt;"",TODAY()-F144&gt;=21)),"Red",IF(OR(AND(K144&lt;&gt;"",TODAY()-K144&gt;=7),AND(C144&lt;&gt;"",C144-TODAY()&lt;=30)),"Yellow","Green")))</f>
        <v/>
      </c>
      <c r="E144" s="12">
        <f>IF(K144="","",TODAY()-K144)</f>
        <v/>
      </c>
      <c r="F144" s="10">
        <f>IFERROR(1/(1/MAXIFS(Touchpoints!$A:$A,Touchpoints!$B:$B,A144)),"")</f>
        <v/>
      </c>
      <c r="G144" s="11">
        <f>IF(F144="","",TODAY()-F144)</f>
        <v/>
      </c>
      <c r="H144" s="11" t="n"/>
      <c r="I144" s="11" t="n"/>
      <c r="J144" s="11" t="n"/>
      <c r="K144" s="17" t="n">
        <v>46310</v>
      </c>
      <c r="L144" s="0" t="inlineStr">
        <is>
          <t>M-0143</t>
        </is>
      </c>
      <c r="M144" s="0" t="inlineStr">
        <is>
          <t>none</t>
        </is>
      </c>
      <c r="R144" t="inlineStr">
        <is>
          <t>archer.nesbitt@example.com</t>
        </is>
      </c>
      <c r="S144" t="n">
        <v>3</v>
      </c>
      <c r="T144" t="inlineStr">
        <is>
          <t>yes</t>
        </is>
      </c>
    </row>
    <row r="145" ht="15.75" customHeight="1" s="18">
      <c r="A145" s="9" t="inlineStr">
        <is>
          <t>Henrik Harrington</t>
        </is>
      </c>
      <c r="B145" s="10" t="n">
        <v>46265</v>
      </c>
      <c r="C145" s="10">
        <f>IF(B145="","",EDATE(B145,12*(DATEDIF(B145,TODAY(),"y")+1)))</f>
        <v/>
      </c>
      <c r="D145" s="11">
        <f>IF(AND(K145="",F145=""),"",IF(OR(AND(K145&lt;&gt;"",TODAY()-K145&gt;=14),AND(F145&lt;&gt;"",TODAY()-F145&gt;=21)),"Red",IF(OR(AND(K145&lt;&gt;"",TODAY()-K145&gt;=7),AND(C145&lt;&gt;"",C145-TODAY()&lt;=30)),"Yellow","Green")))</f>
        <v/>
      </c>
      <c r="E145" s="12">
        <f>IF(K145="","",TODAY()-K145)</f>
        <v/>
      </c>
      <c r="F145" s="10">
        <f>IFERROR(1/(1/MAXIFS(Touchpoints!$A:$A,Touchpoints!$B:$B,A145)),"")</f>
        <v/>
      </c>
      <c r="G145" s="11">
        <f>IF(F145="","",TODAY()-F145)</f>
        <v/>
      </c>
      <c r="H145" s="11" t="n"/>
      <c r="I145" s="11" t="n"/>
      <c r="J145" s="11" t="n"/>
      <c r="K145" s="17" t="n">
        <v>46309</v>
      </c>
      <c r="L145" s="0" t="inlineStr">
        <is>
          <t>M-0144</t>
        </is>
      </c>
      <c r="M145" s="0" t="inlineStr">
        <is>
          <t>none</t>
        </is>
      </c>
      <c r="R145" t="inlineStr">
        <is>
          <t>henrik.harrington@example.com</t>
        </is>
      </c>
      <c r="S145" t="n">
        <v>9</v>
      </c>
      <c r="T145" t="inlineStr">
        <is>
          <t>yes</t>
        </is>
      </c>
    </row>
    <row r="146" ht="15.75" customHeight="1" s="18">
      <c r="A146" s="9" t="inlineStr">
        <is>
          <t>Quentin Stanton</t>
        </is>
      </c>
      <c r="B146" s="10" t="n">
        <v>45927</v>
      </c>
      <c r="C146" s="10">
        <f>IF(B146="","",EDATE(B146,12*(DATEDIF(B146,TODAY(),"y")+1)))</f>
        <v/>
      </c>
      <c r="D146" s="11">
        <f>IF(AND(K146="",F146=""),"",IF(OR(AND(K146&lt;&gt;"",TODAY()-K146&gt;=14),AND(F146&lt;&gt;"",TODAY()-F146&gt;=21)),"Red",IF(OR(AND(K146&lt;&gt;"",TODAY()-K146&gt;=7),AND(C146&lt;&gt;"",C146-TODAY()&lt;=30)),"Yellow","Green")))</f>
        <v/>
      </c>
      <c r="E146" s="12">
        <f>IF(K146="","",TODAY()-K146)</f>
        <v/>
      </c>
      <c r="F146" s="10">
        <f>IFERROR(1/(1/MAXIFS(Touchpoints!$A:$A,Touchpoints!$B:$B,A146)),"")</f>
        <v/>
      </c>
      <c r="G146" s="11">
        <f>IF(F146="","",TODAY()-F146)</f>
        <v/>
      </c>
      <c r="H146" s="11" t="n"/>
      <c r="I146" s="11" t="n"/>
      <c r="J146" s="11" t="n"/>
      <c r="K146" s="17" t="n">
        <v>46311</v>
      </c>
      <c r="L146" s="0" t="inlineStr">
        <is>
          <t>M-0145</t>
        </is>
      </c>
      <c r="M146" s="0" t="inlineStr">
        <is>
          <t>none</t>
        </is>
      </c>
      <c r="R146" t="inlineStr">
        <is>
          <t>quentin.stanton@example.com</t>
        </is>
      </c>
      <c r="S146" t="n">
        <v>22</v>
      </c>
      <c r="T146" t="inlineStr">
        <is>
          <t>yes</t>
        </is>
      </c>
    </row>
    <row r="147" ht="15.75" customHeight="1" s="18">
      <c r="A147" s="9" t="inlineStr">
        <is>
          <t>Grant Grimshaw</t>
        </is>
      </c>
      <c r="B147" s="10" t="n">
        <v>45928</v>
      </c>
      <c r="C147" s="10">
        <f>IF(B147="","",EDATE(B147,12*(DATEDIF(B147,TODAY(),"y")+1)))</f>
        <v/>
      </c>
      <c r="D147" s="11">
        <f>IF(AND(K147="",F147=""),"",IF(OR(AND(K147&lt;&gt;"",TODAY()-K147&gt;=14),AND(F147&lt;&gt;"",TODAY()-F147&gt;=21)),"Red",IF(OR(AND(K147&lt;&gt;"",TODAY()-K147&gt;=7),AND(C147&lt;&gt;"",C147-TODAY()&lt;=30)),"Yellow","Green")))</f>
        <v/>
      </c>
      <c r="E147" s="12">
        <f>IF(K147="","",TODAY()-K147)</f>
        <v/>
      </c>
      <c r="F147" s="10">
        <f>IFERROR(1/(1/MAXIFS(Touchpoints!$A:$A,Touchpoints!$B:$B,A147)),"")</f>
        <v/>
      </c>
      <c r="G147" s="11">
        <f>IF(F147="","",TODAY()-F147)</f>
        <v/>
      </c>
      <c r="H147" s="11" t="n"/>
      <c r="I147" s="11" t="n"/>
      <c r="J147" s="11" t="n"/>
      <c r="K147" s="17" t="n">
        <v>45944</v>
      </c>
      <c r="L147" s="0" t="inlineStr">
        <is>
          <t>M-0146</t>
        </is>
      </c>
      <c r="M147" s="0" t="inlineStr">
        <is>
          <t>none</t>
        </is>
      </c>
      <c r="R147" t="inlineStr">
        <is>
          <t>grant.grimshaw@example.com</t>
        </is>
      </c>
      <c r="S147" t="n">
        <v>23</v>
      </c>
      <c r="T147" t="inlineStr">
        <is>
          <t>yes</t>
        </is>
      </c>
    </row>
    <row r="148" ht="15.75" customHeight="1" s="18">
      <c r="A148" s="9" t="inlineStr">
        <is>
          <t>Harold Zabriskie</t>
        </is>
      </c>
      <c r="B148" s="10" t="n">
        <v>45928</v>
      </c>
      <c r="C148" s="10">
        <f>IF(B148="","",EDATE(B148,12*(DATEDIF(B148,TODAY(),"y")+1)))</f>
        <v/>
      </c>
      <c r="D148" s="11">
        <f>IF(AND(K148="",F148=""),"",IF(OR(AND(K148&lt;&gt;"",TODAY()-K148&gt;=14),AND(F148&lt;&gt;"",TODAY()-F148&gt;=21)),"Red",IF(OR(AND(K148&lt;&gt;"",TODAY()-K148&gt;=7),AND(C148&lt;&gt;"",C148-TODAY()&lt;=30)),"Yellow","Green")))</f>
        <v/>
      </c>
      <c r="E148" s="12">
        <f>IF(K148="","",TODAY()-K148)</f>
        <v/>
      </c>
      <c r="F148" s="10">
        <f>IFERROR(1/(1/MAXIFS(Touchpoints!$A:$A,Touchpoints!$B:$B,A148)),"")</f>
        <v/>
      </c>
      <c r="G148" s="11">
        <f>IF(F148="","",TODAY()-F148)</f>
        <v/>
      </c>
      <c r="H148" s="11" t="n"/>
      <c r="I148" s="11" t="n"/>
      <c r="J148" s="11" t="n"/>
      <c r="K148" s="17" t="n">
        <v>46311</v>
      </c>
      <c r="L148" s="0" t="inlineStr">
        <is>
          <t>M-0147</t>
        </is>
      </c>
      <c r="M148" s="0" t="inlineStr">
        <is>
          <t>none</t>
        </is>
      </c>
      <c r="R148" t="inlineStr">
        <is>
          <t>harold.zabriskie@example.com</t>
        </is>
      </c>
      <c r="S148" t="n">
        <v>6</v>
      </c>
      <c r="T148" t="inlineStr">
        <is>
          <t>yes</t>
        </is>
      </c>
    </row>
    <row r="149" ht="15.75" customHeight="1" s="18">
      <c r="A149" s="9" t="inlineStr">
        <is>
          <t>Wallace Lockhart</t>
        </is>
      </c>
      <c r="B149" s="10" t="n">
        <v>45928</v>
      </c>
      <c r="C149" s="10">
        <f>IF(B149="","",EDATE(B149,12*(DATEDIF(B149,TODAY(),"y")+1)))</f>
        <v/>
      </c>
      <c r="D149" s="11">
        <f>IF(AND(K149="",F149=""),"",IF(OR(AND(K149&lt;&gt;"",TODAY()-K149&gt;=14),AND(F149&lt;&gt;"",TODAY()-F149&gt;=21)),"Red",IF(OR(AND(K149&lt;&gt;"",TODAY()-K149&gt;=7),AND(C149&lt;&gt;"",C149-TODAY()&lt;=30)),"Yellow","Green")))</f>
        <v/>
      </c>
      <c r="E149" s="12">
        <f>IF(K149="","",TODAY()-K149)</f>
        <v/>
      </c>
      <c r="F149" s="10">
        <f>IFERROR(1/(1/MAXIFS(Touchpoints!$A:$A,Touchpoints!$B:$B,A149)),"")</f>
        <v/>
      </c>
      <c r="G149" s="11">
        <f>IF(F149="","",TODAY()-F149)</f>
        <v/>
      </c>
      <c r="H149" s="11" t="n"/>
      <c r="I149" s="11" t="n"/>
      <c r="J149" s="11" t="n"/>
      <c r="K149" s="17" t="n">
        <v>46310</v>
      </c>
      <c r="L149" s="0" t="inlineStr">
        <is>
          <t>M-0148</t>
        </is>
      </c>
      <c r="M149" s="0" t="inlineStr">
        <is>
          <t>none</t>
        </is>
      </c>
      <c r="R149" t="inlineStr">
        <is>
          <t>wallace.lockhart@example.com</t>
        </is>
      </c>
      <c r="S149" t="n">
        <v>31</v>
      </c>
      <c r="T149" t="inlineStr">
        <is>
          <t>yes</t>
        </is>
      </c>
    </row>
    <row r="150" ht="15.75" customHeight="1" s="18">
      <c r="A150" s="9" t="inlineStr">
        <is>
          <t>Callum Tavish</t>
        </is>
      </c>
      <c r="B150" s="10" t="n">
        <v>46295</v>
      </c>
      <c r="C150" s="10">
        <f>IF(B150="","",EDATE(B150,12*(DATEDIF(B150,TODAY(),"y")+1)))</f>
        <v/>
      </c>
      <c r="D150" s="11">
        <f>IF(AND(K150="",F150=""),"",IF(OR(AND(K150&lt;&gt;"",TODAY()-K150&gt;=14),AND(F150&lt;&gt;"",TODAY()-F150&gt;=21)),"Red",IF(OR(AND(K150&lt;&gt;"",TODAY()-K150&gt;=7),AND(C150&lt;&gt;"",C150-TODAY()&lt;=30)),"Yellow","Green")))</f>
        <v/>
      </c>
      <c r="E150" s="12">
        <f>IF(K150="","",TODAY()-K150)</f>
        <v/>
      </c>
      <c r="F150" s="10">
        <f>IFERROR(1/(1/MAXIFS(Touchpoints!$A:$A,Touchpoints!$B:$B,A150)),"")</f>
        <v/>
      </c>
      <c r="G150" s="11">
        <f>IF(F150="","",TODAY()-F150)</f>
        <v/>
      </c>
      <c r="H150" s="11" t="n"/>
      <c r="I150" s="11" t="n"/>
      <c r="J150" s="11" t="n"/>
      <c r="K150" s="17" t="n">
        <v>46268</v>
      </c>
      <c r="L150" s="0" t="inlineStr">
        <is>
          <t>M-0149</t>
        </is>
      </c>
      <c r="M150" s="0" t="inlineStr">
        <is>
          <t>none</t>
        </is>
      </c>
      <c r="R150" t="inlineStr">
        <is>
          <t>callum.tavish@example.com</t>
        </is>
      </c>
      <c r="S150" t="n">
        <v>27</v>
      </c>
      <c r="T150" t="inlineStr">
        <is>
          <t>yes</t>
        </is>
      </c>
    </row>
    <row r="151" ht="15.75" customHeight="1" s="18">
      <c r="A151" s="9" t="inlineStr">
        <is>
          <t>Hamish Dunhill</t>
        </is>
      </c>
      <c r="B151" s="10" t="n">
        <v>45933</v>
      </c>
      <c r="C151" s="10">
        <f>IF(B151="","",EDATE(B151,12*(DATEDIF(B151,TODAY(),"y")+1)))</f>
        <v/>
      </c>
      <c r="D151" s="11">
        <f>IF(AND(K151="",F151=""),"",IF(OR(AND(K151&lt;&gt;"",TODAY()-K151&gt;=14),AND(F151&lt;&gt;"",TODAY()-F151&gt;=21)),"Red",IF(OR(AND(K151&lt;&gt;"",TODAY()-K151&gt;=7),AND(C151&lt;&gt;"",C151-TODAY()&lt;=30)),"Yellow","Green")))</f>
        <v/>
      </c>
      <c r="E151" s="12">
        <f>IF(K151="","",TODAY()-K151)</f>
        <v/>
      </c>
      <c r="F151" s="10">
        <f>IFERROR(1/(1/MAXIFS(Touchpoints!$A:$A,Touchpoints!$B:$B,A151)),"")</f>
        <v/>
      </c>
      <c r="G151" s="11">
        <f>IF(F151="","",TODAY()-F151)</f>
        <v/>
      </c>
      <c r="H151" s="11" t="n"/>
      <c r="I151" s="11" t="n"/>
      <c r="J151" s="11" t="n"/>
      <c r="K151" s="17" t="n">
        <v>46311</v>
      </c>
      <c r="L151" s="0" t="inlineStr">
        <is>
          <t>M-0150</t>
        </is>
      </c>
      <c r="M151" s="0" t="inlineStr">
        <is>
          <t>none</t>
        </is>
      </c>
      <c r="R151" t="inlineStr">
        <is>
          <t>hamish.dunhill@example.com</t>
        </is>
      </c>
      <c r="S151" t="n">
        <v>2</v>
      </c>
      <c r="T151" t="inlineStr">
        <is>
          <t>yes</t>
        </is>
      </c>
    </row>
    <row r="152" ht="15.75" customHeight="1" s="18">
      <c r="A152" s="9" t="inlineStr">
        <is>
          <t>Luigi Osborne</t>
        </is>
      </c>
      <c r="B152" s="10" t="n">
        <v>45933</v>
      </c>
      <c r="C152" s="10">
        <f>IF(B152="","",EDATE(B152,12*(DATEDIF(B152,TODAY(),"y")+1)))</f>
        <v/>
      </c>
      <c r="D152" s="11">
        <f>IF(AND(K152="",F152=""),"",IF(OR(AND(K152&lt;&gt;"",TODAY()-K152&gt;=14),AND(F152&lt;&gt;"",TODAY()-F152&gt;=21)),"Red",IF(OR(AND(K152&lt;&gt;"",TODAY()-K152&gt;=7),AND(C152&lt;&gt;"",C152-TODAY()&lt;=30)),"Yellow","Green")))</f>
        <v/>
      </c>
      <c r="E152" s="12">
        <f>IF(K152="","",TODAY()-K152)</f>
        <v/>
      </c>
      <c r="F152" s="10">
        <f>IFERROR(1/(1/MAXIFS(Touchpoints!$A:$A,Touchpoints!$B:$B,A152)),"")</f>
        <v/>
      </c>
      <c r="G152" s="11">
        <f>IF(F152="","",TODAY()-F152)</f>
        <v/>
      </c>
      <c r="H152" s="11" t="inlineStr">
        <is>
          <t>raise my prices with existing clients</t>
        </is>
      </c>
      <c r="I152" s="11" t="n"/>
      <c r="J152" s="11" t="n"/>
      <c r="K152" s="17" t="n">
        <v>46288</v>
      </c>
      <c r="L152" s="0" t="inlineStr">
        <is>
          <t>M-0151</t>
        </is>
      </c>
      <c r="M152" s="0" t="inlineStr">
        <is>
          <t>none</t>
        </is>
      </c>
      <c r="R152" t="inlineStr">
        <is>
          <t>luigi.osborne@example.com</t>
        </is>
      </c>
      <c r="S152" t="n">
        <v>32</v>
      </c>
      <c r="T152" t="inlineStr">
        <is>
          <t>yes</t>
        </is>
      </c>
    </row>
    <row r="153" ht="15.75" customHeight="1" s="18">
      <c r="A153" s="9" t="inlineStr">
        <is>
          <t>Nathan Lindqvist</t>
        </is>
      </c>
      <c r="B153" s="10" t="n">
        <v>45934</v>
      </c>
      <c r="C153" s="10">
        <f>IF(B153="","",EDATE(B153,12*(DATEDIF(B153,TODAY(),"y")+1)))</f>
        <v/>
      </c>
      <c r="D153" s="11">
        <f>IF(AND(K153="",F153=""),"",IF(OR(AND(K153&lt;&gt;"",TODAY()-K153&gt;=14),AND(F153&lt;&gt;"",TODAY()-F153&gt;=21)),"Red",IF(OR(AND(K153&lt;&gt;"",TODAY()-K153&gt;=7),AND(C153&lt;&gt;"",C153-TODAY()&lt;=30)),"Yellow","Green")))</f>
        <v/>
      </c>
      <c r="E153" s="12">
        <f>IF(K153="","",TODAY()-K153)</f>
        <v/>
      </c>
      <c r="F153" s="10">
        <f>IFERROR(1/(1/MAXIFS(Touchpoints!$A:$A,Touchpoints!$B:$B,A153)),"")</f>
        <v/>
      </c>
      <c r="G153" s="11">
        <f>IF(F153="","",TODAY()-F153)</f>
        <v/>
      </c>
      <c r="H153" s="11" t="n"/>
      <c r="I153" s="11" t="n"/>
      <c r="J153" s="11" t="n"/>
      <c r="K153" s="17" t="n">
        <v>46179</v>
      </c>
      <c r="L153" s="0" t="inlineStr">
        <is>
          <t>M-0152</t>
        </is>
      </c>
      <c r="M153" s="0" t="inlineStr">
        <is>
          <t>none</t>
        </is>
      </c>
      <c r="R153" t="inlineStr">
        <is>
          <t>nathan.lindqvist@example.com</t>
        </is>
      </c>
      <c r="S153" t="n">
        <v>37</v>
      </c>
      <c r="T153" t="inlineStr">
        <is>
          <t>yes</t>
        </is>
      </c>
    </row>
    <row r="154" ht="15.75" customHeight="1" s="18">
      <c r="A154" s="8" t="inlineStr">
        <is>
          <t>Mateo Fenwick</t>
        </is>
      </c>
      <c r="B154" s="14" t="n">
        <v>46304</v>
      </c>
      <c r="C154" s="15">
        <f>IF(B154="","",EDATE(B154,12*(DATEDIF(B154,TODAY(),"y")+1)))</f>
        <v/>
      </c>
      <c r="D154" s="8">
        <f>IF(AND(K154="",F154=""),"",IF(OR(AND(K154&lt;&gt;"",TODAY()-K154&gt;=14),AND(F154&lt;&gt;"",TODAY()-F154&gt;=21)),"Red",IF(OR(AND(K154&lt;&gt;"",TODAY()-K154&gt;=7),AND(C154&lt;&gt;"",C154-TODAY()&lt;=30)),"Yellow","Green")))</f>
        <v/>
      </c>
      <c r="E154" s="16">
        <f>IF(K154="","",TODAY()-K154)</f>
        <v/>
      </c>
      <c r="F154" s="8">
        <f>IFERROR(1/(1/MAXIFS(Touchpoints!$A:$A,Touchpoints!$B:$B,A154)),"")</f>
        <v/>
      </c>
      <c r="G154" s="8">
        <f>IF(F154="","",TODAY()-F154)</f>
        <v/>
      </c>
      <c r="K154" s="17" t="n">
        <v>46309</v>
      </c>
      <c r="L154" s="0" t="inlineStr">
        <is>
          <t>M-0153</t>
        </is>
      </c>
      <c r="M154" s="0" t="inlineStr">
        <is>
          <t>none</t>
        </is>
      </c>
      <c r="R154" t="inlineStr">
        <is>
          <t>mateo.fenwick@example.com</t>
        </is>
      </c>
      <c r="S154" t="n">
        <v>0</v>
      </c>
      <c r="T154" t="inlineStr">
        <is>
          <t>no</t>
        </is>
      </c>
    </row>
    <row r="155" ht="15.75" customHeight="1" s="18">
      <c r="A155" s="8" t="inlineStr">
        <is>
          <t>Simon Yarrow</t>
        </is>
      </c>
      <c r="B155" s="14" t="n">
        <v>46306</v>
      </c>
      <c r="C155" s="15">
        <f>IF(B155="","",EDATE(B155,12*(DATEDIF(B155,TODAY(),"y")+1)))</f>
        <v/>
      </c>
      <c r="D155" s="8">
        <f>IF(AND(K155="",F155=""),"",IF(OR(AND(K155&lt;&gt;"",TODAY()-K155&gt;=14),AND(F155&lt;&gt;"",TODAY()-F155&gt;=21)),"Red",IF(OR(AND(K155&lt;&gt;"",TODAY()-K155&gt;=7),AND(C155&lt;&gt;"",C155-TODAY()&lt;=30)),"Yellow","Green")))</f>
        <v/>
      </c>
      <c r="E155" s="16">
        <f>IF(K155="","",TODAY()-K155)</f>
        <v/>
      </c>
      <c r="F155" s="8">
        <f>IFERROR(1/(1/MAXIFS(Touchpoints!$A:$A,Touchpoints!$B:$B,A155)),"")</f>
        <v/>
      </c>
      <c r="G155" s="8">
        <f>IF(F155="","",TODAY()-F155)</f>
        <v/>
      </c>
      <c r="K155" s="17" t="n">
        <v>46308</v>
      </c>
      <c r="L155" s="0" t="inlineStr">
        <is>
          <t>M-0154</t>
        </is>
      </c>
      <c r="M155" s="0" t="inlineStr">
        <is>
          <t>none</t>
        </is>
      </c>
      <c r="R155" t="inlineStr">
        <is>
          <t>simon.yarrow@example.com</t>
        </is>
      </c>
      <c r="S155" t="n">
        <v>25</v>
      </c>
      <c r="T155" t="inlineStr">
        <is>
          <t>yes</t>
        </is>
      </c>
    </row>
    <row r="156" ht="15.75" customHeight="1" s="18">
      <c r="A156" s="8" t="inlineStr">
        <is>
          <t>Milan Upshaw</t>
        </is>
      </c>
      <c r="B156" s="14" t="n">
        <v>46309</v>
      </c>
      <c r="C156" s="15">
        <f>IF(B156="","",EDATE(B156,12*(DATEDIF(B156,TODAY(),"y")+1)))</f>
        <v/>
      </c>
      <c r="D156" s="8">
        <f>IF(AND(K156="",F156=""),"",IF(OR(AND(K156&lt;&gt;"",TODAY()-K156&gt;=14),AND(F156&lt;&gt;"",TODAY()-F156&gt;=21)),"Red",IF(OR(AND(K156&lt;&gt;"",TODAY()-K156&gt;=7),AND(C156&lt;&gt;"",C156-TODAY()&lt;=30)),"Yellow","Green")))</f>
        <v/>
      </c>
      <c r="E156" s="16">
        <f>IF(K156="","",TODAY()-K156)</f>
        <v/>
      </c>
      <c r="F156" s="8">
        <f>IFERROR(1/(1/MAXIFS(Touchpoints!$A:$A,Touchpoints!$B:$B,A156)),"")</f>
        <v/>
      </c>
      <c r="G156" s="8">
        <f>IF(F156="","",TODAY()-F156)</f>
        <v/>
      </c>
      <c r="K156" s="17" t="n">
        <v>46311</v>
      </c>
      <c r="L156" s="0" t="inlineStr">
        <is>
          <t>M-0155</t>
        </is>
      </c>
      <c r="M156" s="0" t="inlineStr">
        <is>
          <t>none</t>
        </is>
      </c>
      <c r="R156" t="inlineStr">
        <is>
          <t>milan.upshaw@example.com</t>
        </is>
      </c>
      <c r="S156" t="n">
        <v>39</v>
      </c>
      <c r="T156" t="inlineStr">
        <is>
          <t>yes</t>
        </is>
      </c>
    </row>
    <row r="157" ht="15.75" customHeight="1" s="18">
      <c r="A157" s="8" t="inlineStr">
        <is>
          <t>Terrence Prescott</t>
        </is>
      </c>
      <c r="B157" s="14" t="n">
        <v>46310</v>
      </c>
      <c r="C157" s="15">
        <f>IF(B157="","",EDATE(B157,12*(DATEDIF(B157,TODAY(),"y")+1)))</f>
        <v/>
      </c>
      <c r="D157" s="8">
        <f>IF(AND(K157="",F157=""),"",IF(OR(AND(K157&lt;&gt;"",TODAY()-K157&gt;=14),AND(F157&lt;&gt;"",TODAY()-F157&gt;=21)),"Red",IF(OR(AND(K157&lt;&gt;"",TODAY()-K157&gt;=7),AND(C157&lt;&gt;"",C157-TODAY()&lt;=30)),"Yellow","Green")))</f>
        <v/>
      </c>
      <c r="E157" s="16">
        <f>IF(K157="","",TODAY()-K157)</f>
        <v/>
      </c>
      <c r="F157" s="8">
        <f>IFERROR(1/(1/MAXIFS(Touchpoints!$A:$A,Touchpoints!$B:$B,A157)),"")</f>
        <v/>
      </c>
      <c r="G157" s="8">
        <f>IF(F157="","",TODAY()-F157)</f>
        <v/>
      </c>
      <c r="K157" s="17" t="n">
        <v>46311</v>
      </c>
      <c r="L157" s="0" t="inlineStr">
        <is>
          <t>M-0156</t>
        </is>
      </c>
      <c r="M157" s="0" t="inlineStr">
        <is>
          <t>none</t>
        </is>
      </c>
      <c r="R157" t="inlineStr">
        <is>
          <t>terrence.prescott@example.com</t>
        </is>
      </c>
      <c r="S157" t="n">
        <v>0</v>
      </c>
      <c r="T157" t="inlineStr">
        <is>
          <t>no</t>
        </is>
      </c>
    </row>
    <row r="158" ht="15.75" customHeight="1" s="18">
      <c r="A158" s="8" t="inlineStr">
        <is>
          <t>Nathaniel Pomeroy</t>
        </is>
      </c>
      <c r="E158" s="16" t="n"/>
      <c r="K158" s="17" t="n"/>
      <c r="L158" s="0" t="inlineStr">
        <is>
          <t>M-0157</t>
        </is>
      </c>
      <c r="M158" s="0" t="inlineStr">
        <is>
          <t>none</t>
        </is>
      </c>
      <c r="R158" t="inlineStr">
        <is>
          <t>nathaniel.pomeroy@example.com</t>
        </is>
      </c>
      <c r="S158" t="n">
        <v>6</v>
      </c>
      <c r="T158" t="inlineStr">
        <is>
          <t>yes</t>
        </is>
      </c>
    </row>
    <row r="159" ht="15.75" customHeight="1" s="18">
      <c r="A159" s="0" t="inlineStr">
        <is>
          <t>Tester (filled in at setup)</t>
        </is>
      </c>
      <c r="B159" s="20" t="n">
        <v>46204</v>
      </c>
      <c r="C159" s="0">
        <f>IF(B159="","",EDATE(B159,12*(DATEDIF(B159,TODAY(),"y")+1)))</f>
        <v/>
      </c>
      <c r="D159" s="0">
        <f>IF(AND(K159="",F159=""),"",IF(OR(AND(K159&lt;&gt;"",TODAY()-K159&gt;=14),AND(F159&lt;&gt;"",TODAY()-F159&gt;=21)),"Red",IF(OR(AND(K159&lt;&gt;"",TODAY()-K159&gt;=7),AND(C159&lt;&gt;"",C159-TODAY()&lt;=30)),"Yellow","Green")))</f>
        <v/>
      </c>
      <c r="E159" s="16">
        <f>IF(K159="","",TODAY()-K159)</f>
        <v/>
      </c>
      <c r="F159" s="0">
        <f>IFERROR(1/(1/MAXIFS(Touchpoints!$A:$A,Touchpoints!$B:$B,A159)),"")</f>
        <v/>
      </c>
      <c r="G159" s="0">
        <f>IF(F159="","",TODAY()-F159)</f>
        <v/>
      </c>
      <c r="H159" s="0" t="inlineStr">
        <is>
          <t>test the re-engagement loop end to end</t>
        </is>
      </c>
      <c r="J159" s="0" t="inlineStr">
        <is>
          <t>tester</t>
        </is>
      </c>
      <c r="K159" s="17" t="n">
        <v>46292</v>
      </c>
      <c r="L159" s="0" t="inlineStr">
        <is>
          <t>M-0158</t>
        </is>
      </c>
      <c r="M159" s="0" t="inlineStr">
        <is>
          <t>none</t>
        </is>
      </c>
      <c r="N159" s="0" t="inlineStr">
        <is>
          <t>&lt;your profile link in the test community&gt;</t>
        </is>
      </c>
      <c r="S159" t="n">
        <v>0</v>
      </c>
      <c r="T159" t="inlineStr">
        <is>
          <t>no</t>
        </is>
      </c>
    </row>
    <row r="160" ht="15.75" customHeight="1" s="18">
      <c r="E160" s="16" t="n"/>
      <c r="K160" s="17" t="n"/>
    </row>
    <row r="161" ht="15.75" customHeight="1" s="18">
      <c r="E161" s="16" t="n"/>
      <c r="K161" s="17" t="n"/>
    </row>
    <row r="162" ht="15.75" customHeight="1" s="18">
      <c r="E162" s="16" t="n"/>
      <c r="K162" s="17" t="n"/>
    </row>
    <row r="163" ht="15.75" customHeight="1" s="18">
      <c r="E163" s="16" t="n"/>
      <c r="K163" s="17" t="n"/>
    </row>
    <row r="164" ht="15.75" customHeight="1" s="18">
      <c r="E164" s="16" t="n"/>
      <c r="K164" s="17" t="n"/>
    </row>
    <row r="165" ht="15.75" customHeight="1" s="18">
      <c r="E165" s="16" t="n"/>
      <c r="K165" s="17" t="n"/>
    </row>
    <row r="166" ht="15.75" customHeight="1" s="18">
      <c r="E166" s="16" t="n"/>
      <c r="K166" s="17" t="n"/>
    </row>
    <row r="167" ht="15.75" customHeight="1" s="18">
      <c r="E167" s="16" t="n"/>
      <c r="K167" s="17" t="n"/>
    </row>
    <row r="168" ht="15.75" customHeight="1" s="18">
      <c r="E168" s="16" t="n"/>
      <c r="K168" s="17" t="n"/>
    </row>
    <row r="169" ht="15.75" customHeight="1" s="18">
      <c r="E169" s="16" t="n"/>
      <c r="K169" s="17" t="n"/>
    </row>
    <row r="170" ht="15.75" customHeight="1" s="18">
      <c r="E170" s="16" t="n"/>
      <c r="K170" s="17" t="n"/>
    </row>
    <row r="171" ht="15.75" customHeight="1" s="18">
      <c r="E171" s="16" t="n"/>
      <c r="K171" s="17" t="n"/>
    </row>
    <row r="172" ht="15.75" customHeight="1" s="18">
      <c r="E172" s="16" t="n"/>
      <c r="K172" s="17" t="n"/>
    </row>
    <row r="173" ht="15.75" customHeight="1" s="18">
      <c r="E173" s="16" t="n"/>
      <c r="K173" s="17" t="n"/>
    </row>
    <row r="174" ht="15.75" customHeight="1" s="18">
      <c r="E174" s="16" t="n"/>
      <c r="K174" s="17" t="n"/>
    </row>
    <row r="175" ht="15.75" customHeight="1" s="18">
      <c r="E175" s="16" t="n"/>
      <c r="K175" s="17" t="n"/>
    </row>
    <row r="176" ht="15.75" customHeight="1" s="18">
      <c r="E176" s="16" t="n"/>
      <c r="K176" s="17" t="n"/>
    </row>
    <row r="177" ht="15.75" customHeight="1" s="18">
      <c r="E177" s="16" t="n"/>
      <c r="K177" s="17" t="n"/>
    </row>
    <row r="178" ht="15.75" customHeight="1" s="18">
      <c r="E178" s="16" t="n"/>
      <c r="K178" s="17" t="n"/>
    </row>
    <row r="179" ht="15.75" customHeight="1" s="18">
      <c r="E179" s="16" t="n"/>
      <c r="K179" s="17" t="n"/>
    </row>
    <row r="180" ht="15.75" customHeight="1" s="18">
      <c r="E180" s="16" t="n"/>
      <c r="K180" s="17" t="n"/>
    </row>
    <row r="181" ht="15.75" customHeight="1" s="18">
      <c r="E181" s="16" t="n"/>
      <c r="K181" s="17" t="n"/>
    </row>
    <row r="182" ht="15.75" customHeight="1" s="18">
      <c r="E182" s="16" t="n"/>
      <c r="K182" s="17" t="n"/>
    </row>
    <row r="183" ht="15.75" customHeight="1" s="18">
      <c r="E183" s="16" t="n"/>
      <c r="K183" s="17" t="n"/>
    </row>
    <row r="184" ht="15.75" customHeight="1" s="18">
      <c r="E184" s="16" t="n"/>
      <c r="K184" s="17" t="n"/>
    </row>
    <row r="185" ht="15.75" customHeight="1" s="18">
      <c r="E185" s="16" t="n"/>
      <c r="K185" s="17" t="n"/>
    </row>
    <row r="186" ht="15.75" customHeight="1" s="18">
      <c r="E186" s="16" t="n"/>
      <c r="K186" s="17" t="n"/>
    </row>
    <row r="187" ht="15.75" customHeight="1" s="18">
      <c r="E187" s="16" t="n"/>
      <c r="K187" s="17" t="n"/>
    </row>
    <row r="188" ht="15.75" customHeight="1" s="18">
      <c r="E188" s="16" t="n"/>
      <c r="K188" s="17" t="n"/>
    </row>
    <row r="189" ht="15.75" customHeight="1" s="18">
      <c r="E189" s="16" t="n"/>
      <c r="K189" s="17" t="n"/>
    </row>
    <row r="190" ht="15.75" customHeight="1" s="18">
      <c r="E190" s="16" t="n"/>
      <c r="K190" s="17" t="n"/>
    </row>
    <row r="191" ht="15.75" customHeight="1" s="18">
      <c r="E191" s="16" t="n"/>
      <c r="K191" s="17" t="n"/>
    </row>
    <row r="192" ht="15.75" customHeight="1" s="18">
      <c r="E192" s="16" t="n"/>
      <c r="K192" s="17" t="n"/>
    </row>
    <row r="193" ht="15.75" customHeight="1" s="18">
      <c r="E193" s="16" t="n"/>
      <c r="K193" s="17" t="n"/>
    </row>
    <row r="194" ht="15.75" customHeight="1" s="18">
      <c r="E194" s="16" t="n"/>
      <c r="K194" s="17" t="n"/>
    </row>
    <row r="195" ht="15.75" customHeight="1" s="18">
      <c r="E195" s="16" t="n"/>
      <c r="K195" s="17" t="n"/>
    </row>
    <row r="196" ht="15.75" customHeight="1" s="18">
      <c r="E196" s="16" t="n"/>
      <c r="K196" s="17" t="n"/>
    </row>
    <row r="197" ht="15.75" customHeight="1" s="18">
      <c r="E197" s="16" t="n"/>
      <c r="K197" s="17" t="n"/>
    </row>
    <row r="198" ht="15.75" customHeight="1" s="18">
      <c r="E198" s="16" t="n"/>
      <c r="K198" s="17" t="n"/>
    </row>
    <row r="199" ht="15.75" customHeight="1" s="18">
      <c r="E199" s="16" t="n"/>
      <c r="K199" s="17" t="n"/>
    </row>
    <row r="200" ht="15.75" customHeight="1" s="18">
      <c r="E200" s="16" t="n"/>
      <c r="K200" s="17" t="n"/>
    </row>
    <row r="201" ht="15.75" customHeight="1" s="18">
      <c r="E201" s="16" t="n"/>
      <c r="K201" s="17" t="n"/>
    </row>
    <row r="202" ht="15.75" customHeight="1" s="18">
      <c r="E202" s="16" t="n"/>
      <c r="K202" s="17" t="n"/>
    </row>
    <row r="203" ht="15.75" customHeight="1" s="18">
      <c r="E203" s="16" t="n"/>
      <c r="K203" s="17" t="n"/>
    </row>
    <row r="204" ht="15.75" customHeight="1" s="18">
      <c r="E204" s="16" t="n"/>
      <c r="K204" s="17" t="n"/>
    </row>
    <row r="205" ht="15.75" customHeight="1" s="18">
      <c r="E205" s="16" t="n"/>
      <c r="K205" s="17" t="n"/>
    </row>
    <row r="206" ht="15.75" customHeight="1" s="18">
      <c r="E206" s="16" t="n"/>
      <c r="K206" s="17" t="n"/>
    </row>
    <row r="207" ht="15.75" customHeight="1" s="18">
      <c r="E207" s="16" t="n"/>
      <c r="K207" s="17" t="n"/>
    </row>
    <row r="208" ht="15.75" customHeight="1" s="18">
      <c r="E208" s="16" t="n"/>
      <c r="K208" s="17" t="n"/>
    </row>
    <row r="209" ht="15.75" customHeight="1" s="18">
      <c r="E209" s="16" t="n"/>
      <c r="K209" s="17" t="n"/>
    </row>
    <row r="210" ht="15.75" customHeight="1" s="18">
      <c r="E210" s="16" t="n"/>
      <c r="K210" s="17" t="n"/>
    </row>
    <row r="211" ht="15.75" customHeight="1" s="18">
      <c r="E211" s="16" t="n"/>
      <c r="K211" s="17" t="n"/>
    </row>
    <row r="212" ht="15.75" customHeight="1" s="18">
      <c r="E212" s="16" t="n"/>
      <c r="K212" s="17" t="n"/>
    </row>
    <row r="213" ht="15.75" customHeight="1" s="18">
      <c r="E213" s="16" t="n"/>
      <c r="K213" s="17" t="n"/>
    </row>
    <row r="214" ht="15.75" customHeight="1" s="18">
      <c r="E214" s="16" t="n"/>
      <c r="K214" s="17" t="n"/>
    </row>
    <row r="215" ht="15.75" customHeight="1" s="18">
      <c r="E215" s="16" t="n"/>
      <c r="K215" s="17" t="n"/>
    </row>
    <row r="216" ht="15.75" customHeight="1" s="18">
      <c r="E216" s="16" t="n"/>
      <c r="K216" s="17" t="n"/>
    </row>
    <row r="217" ht="15.75" customHeight="1" s="18">
      <c r="E217" s="16" t="n"/>
      <c r="K217" s="17" t="n"/>
    </row>
    <row r="218" ht="15.75" customHeight="1" s="18">
      <c r="E218" s="16" t="n"/>
      <c r="K218" s="17" t="n"/>
    </row>
    <row r="219" ht="15.75" customHeight="1" s="18">
      <c r="E219" s="16" t="n"/>
      <c r="K219" s="17" t="n"/>
    </row>
    <row r="220" ht="15.75" customHeight="1" s="18">
      <c r="E220" s="16" t="n"/>
      <c r="K220" s="17" t="n"/>
    </row>
    <row r="221" ht="15.75" customHeight="1" s="18">
      <c r="E221" s="16" t="n"/>
      <c r="K221" s="17" t="n"/>
    </row>
    <row r="222" ht="15.75" customHeight="1" s="18">
      <c r="E222" s="16" t="n"/>
      <c r="K222" s="17" t="n"/>
    </row>
    <row r="223" ht="15.75" customHeight="1" s="18">
      <c r="E223" s="16" t="n"/>
      <c r="K223" s="17" t="n"/>
    </row>
    <row r="224" ht="15.75" customHeight="1" s="18">
      <c r="E224" s="16" t="n"/>
      <c r="K224" s="17" t="n"/>
    </row>
    <row r="225" ht="15.75" customHeight="1" s="18">
      <c r="E225" s="16" t="n"/>
      <c r="K225" s="17" t="n"/>
    </row>
    <row r="226" ht="15.75" customHeight="1" s="18">
      <c r="E226" s="16" t="n"/>
      <c r="K226" s="17" t="n"/>
    </row>
    <row r="227" ht="15.75" customHeight="1" s="18">
      <c r="E227" s="16" t="n"/>
      <c r="K227" s="17" t="n"/>
    </row>
    <row r="228" ht="15.75" customHeight="1" s="18">
      <c r="E228" s="16" t="n"/>
      <c r="K228" s="17" t="n"/>
    </row>
    <row r="229" ht="15.75" customHeight="1" s="18">
      <c r="E229" s="16" t="n"/>
      <c r="K229" s="17" t="n"/>
    </row>
    <row r="230" ht="15.75" customHeight="1" s="18">
      <c r="E230" s="16" t="n"/>
      <c r="K230" s="17" t="n"/>
    </row>
    <row r="231" ht="15.75" customHeight="1" s="18">
      <c r="E231" s="16" t="n"/>
      <c r="K231" s="17" t="n"/>
    </row>
    <row r="232" ht="15.75" customHeight="1" s="18">
      <c r="E232" s="16" t="n"/>
      <c r="K232" s="17" t="n"/>
    </row>
    <row r="233" ht="15.75" customHeight="1" s="18">
      <c r="E233" s="16" t="n"/>
      <c r="K233" s="17" t="n"/>
    </row>
    <row r="234" ht="15.75" customHeight="1" s="18">
      <c r="E234" s="16" t="n"/>
      <c r="K234" s="17" t="n"/>
    </row>
    <row r="235" ht="15.75" customHeight="1" s="18">
      <c r="E235" s="16" t="n"/>
      <c r="K235" s="17" t="n"/>
    </row>
    <row r="236" ht="15.75" customHeight="1" s="18">
      <c r="E236" s="16" t="n"/>
      <c r="K236" s="17" t="n"/>
    </row>
    <row r="237" ht="15.75" customHeight="1" s="18">
      <c r="E237" s="16" t="n"/>
      <c r="K237" s="17" t="n"/>
    </row>
    <row r="238" ht="15.75" customHeight="1" s="18">
      <c r="E238" s="16" t="n"/>
      <c r="K238" s="17" t="n"/>
    </row>
    <row r="239" ht="15.75" customHeight="1" s="18">
      <c r="E239" s="16" t="n"/>
      <c r="K239" s="17" t="n"/>
    </row>
    <row r="240" ht="15.75" customHeight="1" s="18">
      <c r="E240" s="16" t="n"/>
      <c r="K240" s="17" t="n"/>
    </row>
    <row r="241" ht="15.75" customHeight="1" s="18">
      <c r="E241" s="16" t="n"/>
      <c r="K241" s="17" t="n"/>
    </row>
    <row r="242" ht="15.75" customHeight="1" s="18">
      <c r="E242" s="16" t="n"/>
      <c r="K242" s="17" t="n"/>
    </row>
    <row r="243" ht="15.75" customHeight="1" s="18">
      <c r="E243" s="16" t="n"/>
      <c r="K243" s="17" t="n"/>
    </row>
    <row r="244" ht="15.75" customHeight="1" s="18">
      <c r="E244" s="16" t="n"/>
      <c r="K244" s="17" t="n"/>
    </row>
    <row r="245" ht="15.75" customHeight="1" s="18">
      <c r="E245" s="16" t="n"/>
      <c r="K245" s="17" t="n"/>
    </row>
    <row r="246" ht="15.75" customHeight="1" s="18">
      <c r="E246" s="16" t="n"/>
      <c r="K246" s="17" t="n"/>
    </row>
    <row r="247" ht="15.75" customHeight="1" s="18">
      <c r="E247" s="16" t="n"/>
      <c r="K247" s="17" t="n"/>
    </row>
    <row r="248" ht="15.75" customHeight="1" s="18">
      <c r="E248" s="16" t="n"/>
      <c r="K248" s="17" t="n"/>
    </row>
    <row r="249" ht="15.75" customHeight="1" s="18">
      <c r="E249" s="16" t="n"/>
      <c r="K249" s="17" t="n"/>
    </row>
    <row r="250" ht="15.75" customHeight="1" s="18">
      <c r="E250" s="16" t="n"/>
      <c r="K250" s="17" t="n"/>
    </row>
    <row r="251" ht="15.75" customHeight="1" s="18">
      <c r="E251" s="16" t="n"/>
      <c r="K251" s="17" t="n"/>
    </row>
    <row r="252" ht="15.75" customHeight="1" s="18">
      <c r="E252" s="16" t="n"/>
      <c r="K252" s="17" t="n"/>
    </row>
    <row r="253" ht="15.75" customHeight="1" s="18">
      <c r="E253" s="16" t="n"/>
      <c r="K253" s="17" t="n"/>
    </row>
    <row r="254" ht="15.75" customHeight="1" s="18">
      <c r="E254" s="16" t="n"/>
      <c r="K254" s="17" t="n"/>
    </row>
    <row r="255" ht="15.75" customHeight="1" s="18">
      <c r="E255" s="16" t="n"/>
      <c r="K255" s="17" t="n"/>
    </row>
    <row r="256" ht="15.75" customHeight="1" s="18">
      <c r="E256" s="16" t="n"/>
      <c r="K256" s="17" t="n"/>
    </row>
    <row r="257" ht="15.75" customHeight="1" s="18">
      <c r="E257" s="16" t="n"/>
      <c r="K257" s="17" t="n"/>
    </row>
    <row r="258" ht="15.75" customHeight="1" s="18">
      <c r="E258" s="16" t="n"/>
      <c r="K258" s="17" t="n"/>
    </row>
    <row r="259" ht="15.75" customHeight="1" s="18">
      <c r="E259" s="16" t="n"/>
      <c r="K259" s="17" t="n"/>
    </row>
    <row r="260" ht="15.75" customHeight="1" s="18">
      <c r="E260" s="16" t="n"/>
      <c r="K260" s="17" t="n"/>
    </row>
    <row r="261" ht="15.75" customHeight="1" s="18">
      <c r="E261" s="16" t="n"/>
      <c r="K261" s="17" t="n"/>
    </row>
    <row r="262" ht="15.75" customHeight="1" s="18">
      <c r="E262" s="16" t="n"/>
      <c r="K262" s="17" t="n"/>
    </row>
    <row r="263" ht="15.75" customHeight="1" s="18">
      <c r="E263" s="16" t="n"/>
      <c r="K263" s="17" t="n"/>
    </row>
    <row r="264" ht="15.75" customHeight="1" s="18">
      <c r="E264" s="16" t="n"/>
      <c r="K264" s="17" t="n"/>
    </row>
    <row r="265" ht="15.75" customHeight="1" s="18">
      <c r="E265" s="16" t="n"/>
      <c r="K265" s="17" t="n"/>
    </row>
    <row r="266" ht="15.75" customHeight="1" s="18">
      <c r="E266" s="16" t="n"/>
      <c r="K266" s="17" t="n"/>
    </row>
    <row r="267" ht="15.75" customHeight="1" s="18">
      <c r="E267" s="16" t="n"/>
      <c r="K267" s="17" t="n"/>
    </row>
    <row r="268" ht="15.75" customHeight="1" s="18">
      <c r="E268" s="16" t="n"/>
      <c r="K268" s="17" t="n"/>
    </row>
    <row r="269" ht="15.75" customHeight="1" s="18">
      <c r="E269" s="16" t="n"/>
      <c r="K269" s="17" t="n"/>
    </row>
    <row r="270" ht="15.75" customHeight="1" s="18">
      <c r="E270" s="16" t="n"/>
      <c r="K270" s="17" t="n"/>
    </row>
    <row r="271" ht="15.75" customHeight="1" s="18">
      <c r="E271" s="16" t="n"/>
      <c r="K271" s="17" t="n"/>
    </row>
    <row r="272" ht="15.75" customHeight="1" s="18">
      <c r="E272" s="16" t="n"/>
      <c r="K272" s="17" t="n"/>
    </row>
    <row r="273" ht="15.75" customHeight="1" s="18">
      <c r="E273" s="16" t="n"/>
      <c r="K273" s="17" t="n"/>
    </row>
    <row r="274" ht="15.75" customHeight="1" s="18">
      <c r="E274" s="16" t="n"/>
      <c r="K274" s="17" t="n"/>
    </row>
    <row r="275" ht="15.75" customHeight="1" s="18">
      <c r="E275" s="16" t="n"/>
      <c r="K275" s="17" t="n"/>
    </row>
    <row r="276" ht="15.75" customHeight="1" s="18">
      <c r="E276" s="16" t="n"/>
      <c r="K276" s="17" t="n"/>
    </row>
    <row r="277" ht="15.75" customHeight="1" s="18">
      <c r="E277" s="16" t="n"/>
      <c r="K277" s="17" t="n"/>
    </row>
    <row r="278" ht="15.75" customHeight="1" s="18">
      <c r="E278" s="16" t="n"/>
      <c r="K278" s="17" t="n"/>
    </row>
    <row r="279" ht="15.75" customHeight="1" s="18">
      <c r="E279" s="16" t="n"/>
      <c r="K279" s="17" t="n"/>
    </row>
    <row r="280" ht="15.75" customHeight="1" s="18">
      <c r="E280" s="16" t="n"/>
      <c r="K280" s="17" t="n"/>
    </row>
    <row r="281" ht="15.75" customHeight="1" s="18">
      <c r="E281" s="16" t="n"/>
      <c r="K281" s="17" t="n"/>
    </row>
    <row r="282" ht="15.75" customHeight="1" s="18">
      <c r="E282" s="16" t="n"/>
      <c r="K282" s="17" t="n"/>
    </row>
    <row r="283" ht="15.75" customHeight="1" s="18">
      <c r="E283" s="16" t="n"/>
      <c r="K283" s="17" t="n"/>
    </row>
    <row r="284" ht="15.75" customHeight="1" s="18">
      <c r="E284" s="16" t="n"/>
      <c r="K284" s="17" t="n"/>
    </row>
    <row r="285" ht="15.75" customHeight="1" s="18">
      <c r="E285" s="16" t="n"/>
      <c r="K285" s="17" t="n"/>
    </row>
    <row r="286" ht="15.75" customHeight="1" s="18">
      <c r="E286" s="16" t="n"/>
      <c r="K286" s="17" t="n"/>
    </row>
    <row r="287" ht="15.75" customHeight="1" s="18">
      <c r="E287" s="16" t="n"/>
      <c r="K287" s="17" t="n"/>
    </row>
    <row r="288" ht="15.75" customHeight="1" s="18">
      <c r="E288" s="16" t="n"/>
      <c r="K288" s="17" t="n"/>
    </row>
    <row r="289" ht="15.75" customHeight="1" s="18">
      <c r="E289" s="16" t="n"/>
      <c r="K289" s="17" t="n"/>
    </row>
    <row r="290" ht="15.75" customHeight="1" s="18">
      <c r="E290" s="16" t="n"/>
      <c r="K290" s="17" t="n"/>
    </row>
    <row r="291" ht="15.75" customHeight="1" s="18">
      <c r="E291" s="16" t="n"/>
      <c r="K291" s="17" t="n"/>
    </row>
    <row r="292" ht="15.75" customHeight="1" s="18">
      <c r="E292" s="16" t="n"/>
      <c r="K292" s="17" t="n"/>
    </row>
    <row r="293" ht="15.75" customHeight="1" s="18">
      <c r="E293" s="16" t="n"/>
      <c r="K293" s="17" t="n"/>
    </row>
    <row r="294" ht="15.75" customHeight="1" s="18">
      <c r="E294" s="16" t="n"/>
      <c r="K294" s="17" t="n"/>
    </row>
    <row r="295" ht="15.75" customHeight="1" s="18">
      <c r="E295" s="16" t="n"/>
      <c r="K295" s="17" t="n"/>
    </row>
    <row r="296" ht="15.75" customHeight="1" s="18">
      <c r="E296" s="16" t="n"/>
      <c r="K296" s="17" t="n"/>
    </row>
    <row r="297" ht="15.75" customHeight="1" s="18">
      <c r="E297" s="16" t="n"/>
      <c r="K297" s="17" t="n"/>
    </row>
    <row r="298" ht="15.75" customHeight="1" s="18">
      <c r="E298" s="16" t="n"/>
      <c r="K298" s="17" t="n"/>
    </row>
    <row r="299" ht="15.75" customHeight="1" s="18">
      <c r="E299" s="16" t="n"/>
      <c r="K299" s="17" t="n"/>
    </row>
    <row r="300" ht="15.75" customHeight="1" s="18">
      <c r="E300" s="16" t="n"/>
      <c r="K300" s="17" t="n"/>
    </row>
    <row r="301" ht="15.75" customHeight="1" s="18">
      <c r="E301" s="16" t="n"/>
      <c r="K301" s="17" t="n"/>
    </row>
    <row r="302" ht="15.75" customHeight="1" s="18">
      <c r="E302" s="16" t="n"/>
      <c r="K302" s="17" t="n"/>
    </row>
    <row r="303" ht="15.75" customHeight="1" s="18">
      <c r="E303" s="16" t="n"/>
      <c r="K303" s="17" t="n"/>
    </row>
    <row r="304" ht="15.75" customHeight="1" s="18">
      <c r="E304" s="16" t="n"/>
      <c r="K304" s="17" t="n"/>
    </row>
    <row r="305" ht="15.75" customHeight="1" s="18">
      <c r="E305" s="16" t="n"/>
      <c r="K305" s="17" t="n"/>
    </row>
    <row r="306" ht="15.75" customHeight="1" s="18">
      <c r="E306" s="16" t="n"/>
      <c r="K306" s="17" t="n"/>
    </row>
    <row r="307" ht="15.75" customHeight="1" s="18">
      <c r="E307" s="16" t="n"/>
      <c r="K307" s="17" t="n"/>
    </row>
    <row r="308" ht="15.75" customHeight="1" s="18">
      <c r="E308" s="16" t="n"/>
      <c r="K308" s="17" t="n"/>
    </row>
    <row r="309" ht="15.75" customHeight="1" s="18">
      <c r="E309" s="16" t="n"/>
      <c r="K309" s="17" t="n"/>
    </row>
    <row r="310" ht="15.75" customHeight="1" s="18">
      <c r="E310" s="16" t="n"/>
      <c r="K310" s="17" t="n"/>
    </row>
    <row r="311" ht="15.75" customHeight="1" s="18">
      <c r="E311" s="16" t="n"/>
      <c r="K311" s="17" t="n"/>
    </row>
    <row r="312" ht="15.75" customHeight="1" s="18">
      <c r="E312" s="16" t="n"/>
      <c r="K312" s="17" t="n"/>
    </row>
    <row r="313" ht="15.75" customHeight="1" s="18">
      <c r="E313" s="16" t="n"/>
      <c r="K313" s="17" t="n"/>
    </row>
    <row r="314" ht="15.75" customHeight="1" s="18">
      <c r="E314" s="16" t="n"/>
      <c r="K314" s="17" t="n"/>
    </row>
    <row r="315" ht="15.75" customHeight="1" s="18">
      <c r="E315" s="16" t="n"/>
      <c r="K315" s="17" t="n"/>
    </row>
    <row r="316" ht="15.75" customHeight="1" s="18">
      <c r="E316" s="16" t="n"/>
      <c r="K316" s="17" t="n"/>
    </row>
    <row r="317" ht="15.75" customHeight="1" s="18">
      <c r="E317" s="16" t="n"/>
      <c r="K317" s="17" t="n"/>
    </row>
    <row r="318" ht="15.75" customHeight="1" s="18">
      <c r="E318" s="16" t="n"/>
      <c r="K318" s="17" t="n"/>
    </row>
    <row r="319" ht="15.75" customHeight="1" s="18">
      <c r="E319" s="16" t="n"/>
      <c r="K319" s="17" t="n"/>
    </row>
    <row r="320" ht="15.75" customHeight="1" s="18">
      <c r="E320" s="16" t="n"/>
      <c r="K320" s="17" t="n"/>
    </row>
    <row r="321" ht="15.75" customHeight="1" s="18">
      <c r="E321" s="16" t="n"/>
      <c r="K321" s="17" t="n"/>
    </row>
    <row r="322" ht="15.75" customHeight="1" s="18">
      <c r="E322" s="16" t="n"/>
      <c r="K322" s="17" t="n"/>
    </row>
    <row r="323" ht="15.75" customHeight="1" s="18">
      <c r="E323" s="16" t="n"/>
      <c r="K323" s="17" t="n"/>
    </row>
    <row r="324" ht="15.75" customHeight="1" s="18">
      <c r="E324" s="16" t="n"/>
      <c r="K324" s="17" t="n"/>
    </row>
    <row r="325" ht="15.75" customHeight="1" s="18">
      <c r="E325" s="16" t="n"/>
      <c r="K325" s="17" t="n"/>
    </row>
    <row r="326" ht="15.75" customHeight="1" s="18">
      <c r="E326" s="16" t="n"/>
      <c r="K326" s="17" t="n"/>
    </row>
    <row r="327" ht="15.75" customHeight="1" s="18">
      <c r="E327" s="16" t="n"/>
      <c r="K327" s="17" t="n"/>
    </row>
    <row r="328" ht="15.75" customHeight="1" s="18">
      <c r="E328" s="16" t="n"/>
      <c r="K328" s="17" t="n"/>
    </row>
    <row r="329" ht="15.75" customHeight="1" s="18">
      <c r="E329" s="16" t="n"/>
      <c r="K329" s="17" t="n"/>
    </row>
    <row r="330" ht="15.75" customHeight="1" s="18">
      <c r="E330" s="16" t="n"/>
      <c r="K330" s="17" t="n"/>
    </row>
    <row r="331" ht="15.75" customHeight="1" s="18">
      <c r="E331" s="16" t="n"/>
      <c r="K331" s="17" t="n"/>
    </row>
    <row r="332" ht="15.75" customHeight="1" s="18">
      <c r="E332" s="16" t="n"/>
      <c r="K332" s="17" t="n"/>
    </row>
    <row r="333" ht="15.75" customHeight="1" s="18">
      <c r="E333" s="16" t="n"/>
      <c r="K333" s="17" t="n"/>
    </row>
    <row r="334" ht="15.75" customHeight="1" s="18">
      <c r="E334" s="16" t="n"/>
      <c r="K334" s="17" t="n"/>
    </row>
    <row r="335" ht="15.75" customHeight="1" s="18">
      <c r="E335" s="16" t="n"/>
      <c r="K335" s="17" t="n"/>
    </row>
    <row r="336" ht="15.75" customHeight="1" s="18">
      <c r="E336" s="16" t="n"/>
      <c r="K336" s="17" t="n"/>
    </row>
    <row r="337" ht="15.75" customHeight="1" s="18">
      <c r="E337" s="16" t="n"/>
      <c r="K337" s="17" t="n"/>
    </row>
    <row r="338" ht="15.75" customHeight="1" s="18">
      <c r="E338" s="16" t="n"/>
      <c r="K338" s="17" t="n"/>
    </row>
    <row r="339" ht="15.75" customHeight="1" s="18">
      <c r="E339" s="16" t="n"/>
      <c r="K339" s="17" t="n"/>
    </row>
    <row r="340" ht="15.75" customHeight="1" s="18">
      <c r="E340" s="16" t="n"/>
      <c r="K340" s="17" t="n"/>
    </row>
    <row r="341" ht="15.75" customHeight="1" s="18">
      <c r="E341" s="16" t="n"/>
      <c r="K341" s="17" t="n"/>
    </row>
    <row r="342" ht="15.75" customHeight="1" s="18">
      <c r="E342" s="16" t="n"/>
      <c r="K342" s="17" t="n"/>
    </row>
    <row r="343" ht="15.75" customHeight="1" s="18">
      <c r="E343" s="16" t="n"/>
      <c r="K343" s="17" t="n"/>
    </row>
    <row r="344" ht="15.75" customHeight="1" s="18">
      <c r="E344" s="16" t="n"/>
      <c r="K344" s="17" t="n"/>
    </row>
    <row r="345" ht="15.75" customHeight="1" s="18">
      <c r="E345" s="16" t="n"/>
      <c r="K345" s="17" t="n"/>
    </row>
    <row r="346" ht="15.75" customHeight="1" s="18">
      <c r="E346" s="16" t="n"/>
      <c r="K346" s="17" t="n"/>
    </row>
    <row r="347" ht="15.75" customHeight="1" s="18">
      <c r="E347" s="16" t="n"/>
      <c r="K347" s="17" t="n"/>
    </row>
    <row r="348" ht="15.75" customHeight="1" s="18">
      <c r="E348" s="16" t="n"/>
      <c r="K348" s="17" t="n"/>
    </row>
    <row r="349" ht="15.75" customHeight="1" s="18">
      <c r="E349" s="16" t="n"/>
      <c r="K349" s="17" t="n"/>
    </row>
    <row r="350" ht="15.75" customHeight="1" s="18">
      <c r="E350" s="16" t="n"/>
      <c r="K350" s="17" t="n"/>
    </row>
    <row r="351" ht="15.75" customHeight="1" s="18">
      <c r="E351" s="16" t="n"/>
      <c r="K351" s="17" t="n"/>
    </row>
    <row r="352" ht="15.75" customHeight="1" s="18">
      <c r="E352" s="16" t="n"/>
      <c r="K352" s="17" t="n"/>
    </row>
    <row r="353" ht="15.75" customHeight="1" s="18">
      <c r="E353" s="16" t="n"/>
      <c r="K353" s="17" t="n"/>
    </row>
    <row r="354" ht="15.75" customHeight="1" s="18">
      <c r="E354" s="16" t="n"/>
      <c r="K354" s="17" t="n"/>
    </row>
    <row r="355" ht="15.75" customHeight="1" s="18">
      <c r="E355" s="16" t="n"/>
      <c r="K355" s="17" t="n"/>
    </row>
    <row r="356" ht="15.75" customHeight="1" s="18">
      <c r="E356" s="16" t="n"/>
      <c r="K356" s="17" t="n"/>
    </row>
    <row r="357" ht="15.75" customHeight="1" s="18">
      <c r="E357" s="16" t="n"/>
      <c r="K357" s="17" t="n"/>
    </row>
    <row r="358" ht="15.75" customHeight="1" s="18">
      <c r="E358" s="16" t="n"/>
      <c r="K358" s="17" t="n"/>
    </row>
    <row r="359" ht="15.75" customHeight="1" s="18">
      <c r="E359" s="16" t="n"/>
      <c r="K359" s="17" t="n"/>
    </row>
    <row r="360" ht="15.75" customHeight="1" s="18">
      <c r="E360" s="16" t="n"/>
      <c r="K360" s="17" t="n"/>
    </row>
    <row r="361" ht="15.75" customHeight="1" s="18">
      <c r="E361" s="16" t="n"/>
      <c r="K361" s="17" t="n"/>
    </row>
    <row r="362" ht="15.75" customHeight="1" s="18">
      <c r="E362" s="16" t="n"/>
      <c r="K362" s="17" t="n"/>
    </row>
    <row r="363" ht="15.75" customHeight="1" s="18">
      <c r="E363" s="16" t="n"/>
      <c r="K363" s="17" t="n"/>
    </row>
    <row r="364" ht="15.75" customHeight="1" s="18">
      <c r="E364" s="16" t="n"/>
      <c r="K364" s="17" t="n"/>
    </row>
    <row r="365" ht="15.75" customHeight="1" s="18">
      <c r="E365" s="16" t="n"/>
      <c r="K365" s="17" t="n"/>
    </row>
    <row r="366" ht="15.75" customHeight="1" s="18">
      <c r="E366" s="16" t="n"/>
      <c r="K366" s="17" t="n"/>
    </row>
    <row r="367" ht="15.75" customHeight="1" s="18">
      <c r="E367" s="16" t="n"/>
      <c r="K367" s="17" t="n"/>
    </row>
    <row r="368" ht="15.75" customHeight="1" s="18">
      <c r="E368" s="16" t="n"/>
      <c r="K368" s="17" t="n"/>
    </row>
    <row r="369" ht="15.75" customHeight="1" s="18">
      <c r="E369" s="16" t="n"/>
      <c r="K369" s="17" t="n"/>
    </row>
    <row r="370" ht="15.75" customHeight="1" s="18">
      <c r="E370" s="16" t="n"/>
      <c r="K370" s="17" t="n"/>
    </row>
    <row r="371" ht="15.75" customHeight="1" s="18">
      <c r="E371" s="16" t="n"/>
      <c r="K371" s="17" t="n"/>
    </row>
    <row r="372" ht="15.75" customHeight="1" s="18">
      <c r="E372" s="16" t="n"/>
      <c r="K372" s="17" t="n"/>
    </row>
    <row r="373" ht="15.75" customHeight="1" s="18">
      <c r="E373" s="16" t="n"/>
      <c r="K373" s="17" t="n"/>
    </row>
    <row r="374" ht="15.75" customHeight="1" s="18">
      <c r="E374" s="16" t="n"/>
      <c r="K374" s="17" t="n"/>
    </row>
    <row r="375" ht="15.75" customHeight="1" s="18">
      <c r="E375" s="16" t="n"/>
      <c r="K375" s="17" t="n"/>
    </row>
    <row r="376" ht="15.75" customHeight="1" s="18">
      <c r="E376" s="16" t="n"/>
      <c r="K376" s="17" t="n"/>
    </row>
    <row r="377" ht="15.75" customHeight="1" s="18">
      <c r="E377" s="16" t="n"/>
      <c r="K377" s="17" t="n"/>
    </row>
    <row r="378" ht="15.75" customHeight="1" s="18">
      <c r="E378" s="16" t="n"/>
      <c r="K378" s="17" t="n"/>
    </row>
    <row r="379" ht="15.75" customHeight="1" s="18">
      <c r="E379" s="16" t="n"/>
      <c r="K379" s="17" t="n"/>
    </row>
    <row r="380" ht="15.75" customHeight="1" s="18">
      <c r="E380" s="16" t="n"/>
      <c r="K380" s="17" t="n"/>
    </row>
    <row r="381" ht="15.75" customHeight="1" s="18">
      <c r="E381" s="16" t="n"/>
      <c r="K381" s="17" t="n"/>
    </row>
    <row r="382" ht="15.75" customHeight="1" s="18">
      <c r="E382" s="16" t="n"/>
      <c r="K382" s="17" t="n"/>
    </row>
    <row r="383" ht="15.75" customHeight="1" s="18">
      <c r="E383" s="16" t="n"/>
      <c r="K383" s="17" t="n"/>
    </row>
    <row r="384" ht="15.75" customHeight="1" s="18">
      <c r="E384" s="16" t="n"/>
      <c r="K384" s="17" t="n"/>
    </row>
    <row r="385" ht="15.75" customHeight="1" s="18">
      <c r="E385" s="16" t="n"/>
      <c r="K385" s="17" t="n"/>
    </row>
    <row r="386" ht="15.75" customHeight="1" s="18">
      <c r="E386" s="16" t="n"/>
      <c r="K386" s="17" t="n"/>
    </row>
    <row r="387" ht="15.75" customHeight="1" s="18">
      <c r="E387" s="16" t="n"/>
      <c r="K387" s="17" t="n"/>
    </row>
    <row r="388" ht="15.75" customHeight="1" s="18">
      <c r="E388" s="16" t="n"/>
      <c r="K388" s="17" t="n"/>
    </row>
    <row r="389" ht="15.75" customHeight="1" s="18">
      <c r="E389" s="16" t="n"/>
      <c r="K389" s="17" t="n"/>
    </row>
    <row r="390" ht="15.75" customHeight="1" s="18">
      <c r="E390" s="16" t="n"/>
      <c r="K390" s="17" t="n"/>
    </row>
    <row r="391" ht="15.75" customHeight="1" s="18">
      <c r="E391" s="16" t="n"/>
      <c r="K391" s="17" t="n"/>
    </row>
    <row r="392" ht="15.75" customHeight="1" s="18">
      <c r="E392" s="16" t="n"/>
      <c r="K392" s="17" t="n"/>
    </row>
    <row r="393" ht="15.75" customHeight="1" s="18">
      <c r="E393" s="16" t="n"/>
      <c r="K393" s="17" t="n"/>
    </row>
    <row r="394" ht="15.75" customHeight="1" s="18">
      <c r="E394" s="16" t="n"/>
      <c r="K394" s="17" t="n"/>
    </row>
    <row r="395" ht="15.75" customHeight="1" s="18">
      <c r="E395" s="16" t="n"/>
      <c r="K395" s="17" t="n"/>
    </row>
    <row r="396" ht="15.75" customHeight="1" s="18">
      <c r="E396" s="16" t="n"/>
      <c r="K396" s="17" t="n"/>
    </row>
    <row r="397" ht="15.75" customHeight="1" s="18">
      <c r="E397" s="16" t="n"/>
      <c r="K397" s="17" t="n"/>
    </row>
    <row r="398" ht="15.75" customHeight="1" s="18">
      <c r="E398" s="16" t="n"/>
      <c r="K398" s="17" t="n"/>
    </row>
    <row r="399" ht="15.75" customHeight="1" s="18">
      <c r="E399" s="16" t="n"/>
      <c r="K399" s="17" t="n"/>
    </row>
    <row r="400" ht="15.75" customHeight="1" s="18">
      <c r="E400" s="16" t="n"/>
      <c r="K400" s="17" t="n"/>
    </row>
    <row r="401" ht="15.75" customHeight="1" s="18">
      <c r="E401" s="16" t="n"/>
      <c r="K401" s="17" t="n"/>
    </row>
    <row r="402" ht="15.75" customHeight="1" s="18">
      <c r="E402" s="16" t="n"/>
      <c r="K402" s="17" t="n"/>
    </row>
    <row r="403" ht="15.75" customHeight="1" s="18">
      <c r="E403" s="16" t="n"/>
      <c r="K403" s="17" t="n"/>
    </row>
    <row r="404" ht="15.75" customHeight="1" s="18">
      <c r="E404" s="16" t="n"/>
      <c r="K404" s="17" t="n"/>
    </row>
    <row r="405" ht="15.75" customHeight="1" s="18">
      <c r="E405" s="16" t="n"/>
      <c r="K405" s="17" t="n"/>
    </row>
    <row r="406" ht="15.75" customHeight="1" s="18">
      <c r="E406" s="16" t="n"/>
      <c r="K406" s="17" t="n"/>
    </row>
    <row r="407" ht="15.75" customHeight="1" s="18">
      <c r="E407" s="16" t="n"/>
      <c r="K407" s="17" t="n"/>
    </row>
    <row r="408" ht="15.75" customHeight="1" s="18">
      <c r="E408" s="16" t="n"/>
      <c r="K408" s="17" t="n"/>
    </row>
    <row r="409" ht="15.75" customHeight="1" s="18">
      <c r="E409" s="16" t="n"/>
      <c r="K409" s="17" t="n"/>
    </row>
    <row r="410" ht="15.75" customHeight="1" s="18">
      <c r="E410" s="16" t="n"/>
      <c r="K410" s="17" t="n"/>
    </row>
    <row r="411" ht="15.75" customHeight="1" s="18">
      <c r="E411" s="16" t="n"/>
      <c r="K411" s="17" t="n"/>
    </row>
    <row r="412" ht="15.75" customHeight="1" s="18">
      <c r="E412" s="16" t="n"/>
      <c r="K412" s="17" t="n"/>
    </row>
    <row r="413" ht="15.75" customHeight="1" s="18">
      <c r="E413" s="16" t="n"/>
      <c r="K413" s="17" t="n"/>
    </row>
    <row r="414" ht="15.75" customHeight="1" s="18">
      <c r="E414" s="16" t="n"/>
      <c r="K414" s="17" t="n"/>
    </row>
    <row r="415" ht="15.75" customHeight="1" s="18">
      <c r="E415" s="16" t="n"/>
      <c r="K415" s="17" t="n"/>
    </row>
    <row r="416" ht="15.75" customHeight="1" s="18">
      <c r="E416" s="16" t="n"/>
      <c r="K416" s="17" t="n"/>
    </row>
    <row r="417" ht="15.75" customHeight="1" s="18">
      <c r="E417" s="16" t="n"/>
      <c r="K417" s="17" t="n"/>
    </row>
    <row r="418" ht="15.75" customHeight="1" s="18">
      <c r="E418" s="16" t="n"/>
      <c r="K418" s="17" t="n"/>
    </row>
    <row r="419" ht="15.75" customHeight="1" s="18">
      <c r="E419" s="16" t="n"/>
      <c r="K419" s="17" t="n"/>
    </row>
    <row r="420" ht="15.75" customHeight="1" s="18">
      <c r="E420" s="16" t="n"/>
      <c r="K420" s="17" t="n"/>
    </row>
    <row r="421" ht="15.75" customHeight="1" s="18">
      <c r="E421" s="16" t="n"/>
      <c r="K421" s="17" t="n"/>
    </row>
    <row r="422" ht="15.75" customHeight="1" s="18">
      <c r="E422" s="16" t="n"/>
      <c r="K422" s="17" t="n"/>
    </row>
    <row r="423" ht="15.75" customHeight="1" s="18">
      <c r="E423" s="16" t="n"/>
      <c r="K423" s="17" t="n"/>
    </row>
    <row r="424" ht="15.75" customHeight="1" s="18">
      <c r="E424" s="16" t="n"/>
      <c r="K424" s="17" t="n"/>
    </row>
    <row r="425" ht="15.75" customHeight="1" s="18">
      <c r="E425" s="16" t="n"/>
      <c r="K425" s="17" t="n"/>
    </row>
    <row r="426" ht="15.75" customHeight="1" s="18">
      <c r="E426" s="16" t="n"/>
      <c r="K426" s="17" t="n"/>
    </row>
    <row r="427" ht="15.75" customHeight="1" s="18">
      <c r="E427" s="16" t="n"/>
      <c r="K427" s="17" t="n"/>
    </row>
    <row r="428" ht="15.75" customHeight="1" s="18">
      <c r="E428" s="16" t="n"/>
      <c r="K428" s="17" t="n"/>
    </row>
    <row r="429" ht="15.75" customHeight="1" s="18">
      <c r="E429" s="16" t="n"/>
      <c r="K429" s="17" t="n"/>
    </row>
    <row r="430" ht="15.75" customHeight="1" s="18">
      <c r="E430" s="16" t="n"/>
      <c r="K430" s="17" t="n"/>
    </row>
    <row r="431" ht="15.75" customHeight="1" s="18">
      <c r="E431" s="16" t="n"/>
      <c r="K431" s="17" t="n"/>
    </row>
    <row r="432" ht="15.75" customHeight="1" s="18">
      <c r="E432" s="16" t="n"/>
      <c r="K432" s="17" t="n"/>
    </row>
    <row r="433" ht="15.75" customHeight="1" s="18">
      <c r="E433" s="16" t="n"/>
      <c r="K433" s="17" t="n"/>
    </row>
    <row r="434" ht="15.75" customHeight="1" s="18">
      <c r="E434" s="16" t="n"/>
      <c r="K434" s="17" t="n"/>
    </row>
    <row r="435" ht="15.75" customHeight="1" s="18">
      <c r="E435" s="16" t="n"/>
      <c r="K435" s="17" t="n"/>
    </row>
    <row r="436" ht="15.75" customHeight="1" s="18">
      <c r="E436" s="16" t="n"/>
      <c r="K436" s="17" t="n"/>
    </row>
    <row r="437" ht="15.75" customHeight="1" s="18">
      <c r="E437" s="16" t="n"/>
      <c r="K437" s="17" t="n"/>
    </row>
    <row r="438" ht="15.75" customHeight="1" s="18">
      <c r="E438" s="16" t="n"/>
      <c r="K438" s="17" t="n"/>
    </row>
    <row r="439" ht="15.75" customHeight="1" s="18">
      <c r="E439" s="16" t="n"/>
      <c r="K439" s="17" t="n"/>
    </row>
    <row r="440" ht="15.75" customHeight="1" s="18">
      <c r="E440" s="16" t="n"/>
      <c r="K440" s="17" t="n"/>
    </row>
    <row r="441" ht="15.75" customHeight="1" s="18">
      <c r="E441" s="16" t="n"/>
      <c r="K441" s="17" t="n"/>
    </row>
    <row r="442" ht="15.75" customHeight="1" s="18">
      <c r="E442" s="16" t="n"/>
      <c r="K442" s="17" t="n"/>
    </row>
    <row r="443" ht="15.75" customHeight="1" s="18">
      <c r="E443" s="16" t="n"/>
      <c r="K443" s="17" t="n"/>
    </row>
    <row r="444" ht="15.75" customHeight="1" s="18">
      <c r="E444" s="16" t="n"/>
      <c r="K444" s="17" t="n"/>
    </row>
    <row r="445" ht="15.75" customHeight="1" s="18">
      <c r="E445" s="16" t="n"/>
      <c r="K445" s="17" t="n"/>
    </row>
    <row r="446" ht="15.75" customHeight="1" s="18">
      <c r="E446" s="16" t="n"/>
      <c r="K446" s="17" t="n"/>
    </row>
    <row r="447" ht="15.75" customHeight="1" s="18">
      <c r="E447" s="16" t="n"/>
      <c r="K447" s="17" t="n"/>
    </row>
    <row r="448" ht="15.75" customHeight="1" s="18">
      <c r="E448" s="16" t="n"/>
      <c r="K448" s="17" t="n"/>
    </row>
    <row r="449" ht="15.75" customHeight="1" s="18">
      <c r="E449" s="16" t="n"/>
      <c r="K449" s="17" t="n"/>
    </row>
    <row r="450" ht="15.75" customHeight="1" s="18">
      <c r="E450" s="16" t="n"/>
      <c r="K450" s="17" t="n"/>
    </row>
    <row r="451" ht="15.75" customHeight="1" s="18">
      <c r="E451" s="16" t="n"/>
      <c r="K451" s="17" t="n"/>
    </row>
    <row r="452" ht="15.75" customHeight="1" s="18">
      <c r="E452" s="16" t="n"/>
      <c r="K452" s="17" t="n"/>
    </row>
    <row r="453" ht="15.75" customHeight="1" s="18">
      <c r="E453" s="16" t="n"/>
      <c r="K453" s="17" t="n"/>
    </row>
    <row r="454" ht="15.75" customHeight="1" s="18">
      <c r="E454" s="16" t="n"/>
      <c r="K454" s="17" t="n"/>
    </row>
    <row r="455" ht="15.75" customHeight="1" s="18">
      <c r="E455" s="16" t="n"/>
      <c r="K455" s="17" t="n"/>
    </row>
    <row r="456" ht="15.75" customHeight="1" s="18">
      <c r="E456" s="16" t="n"/>
      <c r="K456" s="17" t="n"/>
    </row>
    <row r="457" ht="15.75" customHeight="1" s="18">
      <c r="E457" s="16" t="n"/>
      <c r="K457" s="17" t="n"/>
    </row>
    <row r="458" ht="15.75" customHeight="1" s="18">
      <c r="E458" s="16" t="n"/>
      <c r="K458" s="17" t="n"/>
    </row>
    <row r="459" ht="15.75" customHeight="1" s="18">
      <c r="E459" s="16" t="n"/>
      <c r="K459" s="17" t="n"/>
    </row>
    <row r="460" ht="15.75" customHeight="1" s="18">
      <c r="E460" s="16" t="n"/>
      <c r="K460" s="17" t="n"/>
    </row>
    <row r="461" ht="15.75" customHeight="1" s="18">
      <c r="E461" s="16" t="n"/>
      <c r="K461" s="17" t="n"/>
    </row>
    <row r="462" ht="15.75" customHeight="1" s="18">
      <c r="E462" s="16" t="n"/>
      <c r="K462" s="17" t="n"/>
    </row>
    <row r="463" ht="15.75" customHeight="1" s="18">
      <c r="E463" s="16" t="n"/>
      <c r="K463" s="17" t="n"/>
    </row>
    <row r="464" ht="15.75" customHeight="1" s="18">
      <c r="E464" s="16" t="n"/>
      <c r="K464" s="17" t="n"/>
    </row>
    <row r="465" ht="15.75" customHeight="1" s="18">
      <c r="E465" s="16" t="n"/>
      <c r="K465" s="17" t="n"/>
    </row>
    <row r="466" ht="15.75" customHeight="1" s="18">
      <c r="E466" s="16" t="n"/>
      <c r="K466" s="17" t="n"/>
    </row>
    <row r="467" ht="15.75" customHeight="1" s="18">
      <c r="E467" s="16" t="n"/>
      <c r="K467" s="17" t="n"/>
    </row>
    <row r="468" ht="15.75" customHeight="1" s="18">
      <c r="E468" s="16" t="n"/>
      <c r="K468" s="17" t="n"/>
    </row>
    <row r="469" ht="15.75" customHeight="1" s="18">
      <c r="E469" s="16" t="n"/>
      <c r="K469" s="17" t="n"/>
    </row>
    <row r="470" ht="15.75" customHeight="1" s="18">
      <c r="E470" s="16" t="n"/>
      <c r="K470" s="17" t="n"/>
    </row>
    <row r="471" ht="15.75" customHeight="1" s="18">
      <c r="E471" s="16" t="n"/>
      <c r="K471" s="17" t="n"/>
    </row>
    <row r="472" ht="15.75" customHeight="1" s="18">
      <c r="E472" s="16" t="n"/>
      <c r="K472" s="17" t="n"/>
    </row>
    <row r="473" ht="15.75" customHeight="1" s="18">
      <c r="E473" s="16" t="n"/>
      <c r="K473" s="17" t="n"/>
    </row>
    <row r="474" ht="15.75" customHeight="1" s="18">
      <c r="E474" s="16" t="n"/>
      <c r="K474" s="17" t="n"/>
    </row>
    <row r="475" ht="15.75" customHeight="1" s="18">
      <c r="E475" s="16" t="n"/>
      <c r="K475" s="17" t="n"/>
    </row>
    <row r="476" ht="15.75" customHeight="1" s="18">
      <c r="E476" s="16" t="n"/>
      <c r="K476" s="17" t="n"/>
    </row>
    <row r="477" ht="15.75" customHeight="1" s="18">
      <c r="E477" s="16" t="n"/>
      <c r="K477" s="17" t="n"/>
    </row>
    <row r="478" ht="15.75" customHeight="1" s="18">
      <c r="E478" s="16" t="n"/>
      <c r="K478" s="17" t="n"/>
    </row>
    <row r="479" ht="15.75" customHeight="1" s="18">
      <c r="E479" s="16" t="n"/>
      <c r="K479" s="17" t="n"/>
    </row>
    <row r="480" ht="15.75" customHeight="1" s="18">
      <c r="E480" s="16" t="n"/>
      <c r="K480" s="17" t="n"/>
    </row>
    <row r="481" ht="15.75" customHeight="1" s="18">
      <c r="E481" s="16" t="n"/>
      <c r="K481" s="17" t="n"/>
    </row>
    <row r="482" ht="15.75" customHeight="1" s="18">
      <c r="E482" s="16" t="n"/>
      <c r="K482" s="17" t="n"/>
    </row>
    <row r="483" ht="15.75" customHeight="1" s="18">
      <c r="E483" s="16" t="n"/>
      <c r="K483" s="17" t="n"/>
    </row>
    <row r="484" ht="15.75" customHeight="1" s="18">
      <c r="E484" s="16" t="n"/>
      <c r="K484" s="17" t="n"/>
    </row>
    <row r="485" ht="15.75" customHeight="1" s="18">
      <c r="E485" s="16" t="n"/>
      <c r="K485" s="17" t="n"/>
    </row>
    <row r="486" ht="15.75" customHeight="1" s="18">
      <c r="E486" s="16" t="n"/>
      <c r="K486" s="17" t="n"/>
    </row>
    <row r="487" ht="15.75" customHeight="1" s="18">
      <c r="E487" s="16" t="n"/>
      <c r="K487" s="17" t="n"/>
    </row>
    <row r="488" ht="15.75" customHeight="1" s="18">
      <c r="E488" s="16" t="n"/>
      <c r="K488" s="17" t="n"/>
    </row>
    <row r="489" ht="15.75" customHeight="1" s="18">
      <c r="E489" s="16" t="n"/>
      <c r="K489" s="17" t="n"/>
    </row>
    <row r="490" ht="15.75" customHeight="1" s="18">
      <c r="E490" s="16" t="n"/>
      <c r="K490" s="17" t="n"/>
    </row>
    <row r="491" ht="15.75" customHeight="1" s="18">
      <c r="E491" s="16" t="n"/>
      <c r="K491" s="17" t="n"/>
    </row>
    <row r="492" ht="15.75" customHeight="1" s="18">
      <c r="E492" s="16" t="n"/>
      <c r="K492" s="17" t="n"/>
    </row>
    <row r="493" ht="15.75" customHeight="1" s="18">
      <c r="E493" s="16" t="n"/>
      <c r="K493" s="17" t="n"/>
    </row>
    <row r="494" ht="15.75" customHeight="1" s="18">
      <c r="E494" s="16" t="n"/>
      <c r="K494" s="17" t="n"/>
    </row>
    <row r="495" ht="15.75" customHeight="1" s="18">
      <c r="E495" s="16" t="n"/>
      <c r="K495" s="17" t="n"/>
    </row>
    <row r="496" ht="15.75" customHeight="1" s="18">
      <c r="E496" s="16" t="n"/>
      <c r="K496" s="17" t="n"/>
    </row>
    <row r="497" ht="15.75" customHeight="1" s="18">
      <c r="E497" s="16" t="n"/>
      <c r="K497" s="17" t="n"/>
    </row>
    <row r="498" ht="15.75" customHeight="1" s="18">
      <c r="E498" s="16" t="n"/>
      <c r="K498" s="17" t="n"/>
    </row>
    <row r="499" ht="15.75" customHeight="1" s="18">
      <c r="E499" s="16" t="n"/>
      <c r="K499" s="17" t="n"/>
    </row>
    <row r="500" ht="15.75" customHeight="1" s="18">
      <c r="E500" s="16" t="n"/>
      <c r="K500" s="17" t="n"/>
    </row>
    <row r="501" ht="15.75" customHeight="1" s="18">
      <c r="E501" s="16" t="n"/>
      <c r="K501" s="17" t="n"/>
    </row>
    <row r="502" ht="15.75" customHeight="1" s="18">
      <c r="E502" s="16" t="n"/>
      <c r="K502" s="17" t="n"/>
    </row>
    <row r="503" ht="15.75" customHeight="1" s="18">
      <c r="E503" s="16" t="n"/>
      <c r="K503" s="17" t="n"/>
    </row>
    <row r="504" ht="15.75" customHeight="1" s="18">
      <c r="E504" s="16" t="n"/>
      <c r="K504" s="17" t="n"/>
    </row>
    <row r="505" ht="15.75" customHeight="1" s="18">
      <c r="E505" s="16" t="n"/>
      <c r="K505" s="17" t="n"/>
    </row>
    <row r="506" ht="15.75" customHeight="1" s="18">
      <c r="E506" s="16" t="n"/>
      <c r="K506" s="17" t="n"/>
    </row>
    <row r="507" ht="15.75" customHeight="1" s="18">
      <c r="E507" s="16" t="n"/>
      <c r="K507" s="17" t="n"/>
    </row>
    <row r="508" ht="15.75" customHeight="1" s="18">
      <c r="E508" s="16" t="n"/>
      <c r="K508" s="17" t="n"/>
    </row>
    <row r="509" ht="15.75" customHeight="1" s="18">
      <c r="E509" s="16" t="n"/>
      <c r="K509" s="17" t="n"/>
    </row>
    <row r="510" ht="15.75" customHeight="1" s="18">
      <c r="E510" s="16" t="n"/>
      <c r="K510" s="17" t="n"/>
    </row>
    <row r="511" ht="15.75" customHeight="1" s="18">
      <c r="E511" s="16" t="n"/>
      <c r="K511" s="17" t="n"/>
    </row>
    <row r="512" ht="15.75" customHeight="1" s="18">
      <c r="E512" s="16" t="n"/>
      <c r="K512" s="17" t="n"/>
    </row>
    <row r="513" ht="15.75" customHeight="1" s="18">
      <c r="E513" s="16" t="n"/>
      <c r="K513" s="17" t="n"/>
    </row>
    <row r="514" ht="15.75" customHeight="1" s="18">
      <c r="E514" s="16" t="n"/>
      <c r="K514" s="17" t="n"/>
    </row>
    <row r="515" ht="15.75" customHeight="1" s="18">
      <c r="E515" s="16" t="n"/>
      <c r="K515" s="17" t="n"/>
    </row>
    <row r="516" ht="15.75" customHeight="1" s="18">
      <c r="E516" s="16" t="n"/>
      <c r="K516" s="17" t="n"/>
    </row>
    <row r="517" ht="15.75" customHeight="1" s="18">
      <c r="E517" s="16" t="n"/>
      <c r="K517" s="17" t="n"/>
    </row>
    <row r="518" ht="15.75" customHeight="1" s="18">
      <c r="E518" s="16" t="n"/>
      <c r="K518" s="17" t="n"/>
    </row>
    <row r="519" ht="15.75" customHeight="1" s="18">
      <c r="E519" s="16" t="n"/>
      <c r="K519" s="17" t="n"/>
    </row>
    <row r="520" ht="15.75" customHeight="1" s="18">
      <c r="E520" s="16" t="n"/>
      <c r="K520" s="17" t="n"/>
    </row>
    <row r="521" ht="15.75" customHeight="1" s="18">
      <c r="E521" s="16" t="n"/>
      <c r="K521" s="17" t="n"/>
    </row>
    <row r="522" ht="15.75" customHeight="1" s="18">
      <c r="E522" s="16" t="n"/>
      <c r="K522" s="17" t="n"/>
    </row>
    <row r="523" ht="15.75" customHeight="1" s="18">
      <c r="E523" s="16" t="n"/>
      <c r="K523" s="17" t="n"/>
    </row>
    <row r="524" ht="15.75" customHeight="1" s="18">
      <c r="E524" s="16" t="n"/>
      <c r="K524" s="17" t="n"/>
    </row>
    <row r="525" ht="15.75" customHeight="1" s="18">
      <c r="E525" s="16" t="n"/>
      <c r="K525" s="17" t="n"/>
    </row>
    <row r="526" ht="15.75" customHeight="1" s="18">
      <c r="E526" s="16" t="n"/>
      <c r="K526" s="17" t="n"/>
    </row>
    <row r="527" ht="15.75" customHeight="1" s="18">
      <c r="E527" s="16" t="n"/>
      <c r="K527" s="17" t="n"/>
    </row>
    <row r="528" ht="15.75" customHeight="1" s="18">
      <c r="E528" s="16" t="n"/>
      <c r="K528" s="17" t="n"/>
    </row>
    <row r="529" ht="15.75" customHeight="1" s="18">
      <c r="E529" s="16" t="n"/>
      <c r="K529" s="17" t="n"/>
    </row>
    <row r="530" ht="15.75" customHeight="1" s="18">
      <c r="E530" s="16" t="n"/>
      <c r="K530" s="17" t="n"/>
    </row>
    <row r="531" ht="15.75" customHeight="1" s="18">
      <c r="E531" s="16" t="n"/>
      <c r="K531" s="17" t="n"/>
    </row>
    <row r="532" ht="15.75" customHeight="1" s="18">
      <c r="E532" s="16" t="n"/>
      <c r="K532" s="17" t="n"/>
    </row>
    <row r="533" ht="15.75" customHeight="1" s="18">
      <c r="E533" s="16" t="n"/>
      <c r="K533" s="17" t="n"/>
    </row>
    <row r="534" ht="15.75" customHeight="1" s="18">
      <c r="E534" s="16" t="n"/>
      <c r="K534" s="17" t="n"/>
    </row>
    <row r="535" ht="15.75" customHeight="1" s="18">
      <c r="E535" s="16" t="n"/>
      <c r="K535" s="17" t="n"/>
    </row>
    <row r="536" ht="15.75" customHeight="1" s="18">
      <c r="E536" s="16" t="n"/>
      <c r="K536" s="17" t="n"/>
    </row>
    <row r="537" ht="15.75" customHeight="1" s="18">
      <c r="E537" s="16" t="n"/>
      <c r="K537" s="17" t="n"/>
    </row>
    <row r="538" ht="15.75" customHeight="1" s="18">
      <c r="E538" s="16" t="n"/>
      <c r="K538" s="17" t="n"/>
    </row>
    <row r="539" ht="15.75" customHeight="1" s="18">
      <c r="E539" s="16" t="n"/>
      <c r="K539" s="17" t="n"/>
    </row>
    <row r="540" ht="15.75" customHeight="1" s="18">
      <c r="E540" s="16" t="n"/>
      <c r="K540" s="17" t="n"/>
    </row>
    <row r="541" ht="15.75" customHeight="1" s="18">
      <c r="E541" s="16" t="n"/>
      <c r="K541" s="17" t="n"/>
    </row>
    <row r="542" ht="15.75" customHeight="1" s="18">
      <c r="E542" s="16" t="n"/>
      <c r="K542" s="17" t="n"/>
    </row>
    <row r="543" ht="15.75" customHeight="1" s="18">
      <c r="E543" s="16" t="n"/>
      <c r="K543" s="17" t="n"/>
    </row>
    <row r="544" ht="15.75" customHeight="1" s="18">
      <c r="E544" s="16" t="n"/>
      <c r="K544" s="17" t="n"/>
    </row>
    <row r="545" ht="15.75" customHeight="1" s="18">
      <c r="E545" s="16" t="n"/>
      <c r="K545" s="17" t="n"/>
    </row>
    <row r="546" ht="15.75" customHeight="1" s="18">
      <c r="E546" s="16" t="n"/>
      <c r="K546" s="17" t="n"/>
    </row>
    <row r="547" ht="15.75" customHeight="1" s="18">
      <c r="E547" s="16" t="n"/>
      <c r="K547" s="17" t="n"/>
    </row>
    <row r="548" ht="15.75" customHeight="1" s="18">
      <c r="E548" s="16" t="n"/>
      <c r="K548" s="17" t="n"/>
    </row>
    <row r="549" ht="15.75" customHeight="1" s="18">
      <c r="E549" s="16" t="n"/>
      <c r="K549" s="17" t="n"/>
    </row>
    <row r="550" ht="15.75" customHeight="1" s="18">
      <c r="E550" s="16" t="n"/>
      <c r="K550" s="17" t="n"/>
    </row>
    <row r="551" ht="15.75" customHeight="1" s="18">
      <c r="E551" s="16" t="n"/>
      <c r="K551" s="17" t="n"/>
    </row>
    <row r="552" ht="15.75" customHeight="1" s="18">
      <c r="E552" s="16" t="n"/>
      <c r="K552" s="17" t="n"/>
    </row>
    <row r="553" ht="15.75" customHeight="1" s="18">
      <c r="E553" s="16" t="n"/>
      <c r="K553" s="17" t="n"/>
    </row>
    <row r="554" ht="15.75" customHeight="1" s="18">
      <c r="E554" s="16" t="n"/>
      <c r="K554" s="17" t="n"/>
    </row>
    <row r="555" ht="15.75" customHeight="1" s="18">
      <c r="E555" s="16" t="n"/>
      <c r="K555" s="17" t="n"/>
    </row>
    <row r="556" ht="15.75" customHeight="1" s="18">
      <c r="E556" s="16" t="n"/>
      <c r="K556" s="17" t="n"/>
    </row>
    <row r="557" ht="15.75" customHeight="1" s="18">
      <c r="E557" s="16" t="n"/>
      <c r="K557" s="17" t="n"/>
    </row>
    <row r="558" ht="15.75" customHeight="1" s="18">
      <c r="E558" s="16" t="n"/>
      <c r="K558" s="17" t="n"/>
    </row>
    <row r="559" ht="15.75" customHeight="1" s="18">
      <c r="E559" s="16" t="n"/>
      <c r="K559" s="17" t="n"/>
    </row>
    <row r="560" ht="15.75" customHeight="1" s="18">
      <c r="E560" s="16" t="n"/>
      <c r="K560" s="17" t="n"/>
    </row>
    <row r="561" ht="15.75" customHeight="1" s="18">
      <c r="E561" s="16" t="n"/>
      <c r="K561" s="17" t="n"/>
    </row>
    <row r="562" ht="15.75" customHeight="1" s="18">
      <c r="E562" s="16" t="n"/>
      <c r="K562" s="17" t="n"/>
    </row>
    <row r="563" ht="15.75" customHeight="1" s="18">
      <c r="E563" s="16" t="n"/>
      <c r="K563" s="17" t="n"/>
    </row>
    <row r="564" ht="15.75" customHeight="1" s="18">
      <c r="E564" s="16" t="n"/>
      <c r="K564" s="17" t="n"/>
    </row>
    <row r="565" ht="15.75" customHeight="1" s="18">
      <c r="E565" s="16" t="n"/>
      <c r="K565" s="17" t="n"/>
    </row>
    <row r="566" ht="15.75" customHeight="1" s="18">
      <c r="E566" s="16" t="n"/>
      <c r="K566" s="17" t="n"/>
    </row>
    <row r="567" ht="15.75" customHeight="1" s="18">
      <c r="E567" s="16" t="n"/>
      <c r="K567" s="17" t="n"/>
    </row>
    <row r="568" ht="15.75" customHeight="1" s="18">
      <c r="E568" s="16" t="n"/>
      <c r="K568" s="17" t="n"/>
    </row>
    <row r="569" ht="15.75" customHeight="1" s="18">
      <c r="E569" s="16" t="n"/>
      <c r="K569" s="17" t="n"/>
    </row>
    <row r="570" ht="15.75" customHeight="1" s="18">
      <c r="E570" s="16" t="n"/>
      <c r="K570" s="17" t="n"/>
    </row>
    <row r="571" ht="15.75" customHeight="1" s="18">
      <c r="E571" s="16" t="n"/>
      <c r="K571" s="17" t="n"/>
    </row>
    <row r="572" ht="15.75" customHeight="1" s="18">
      <c r="E572" s="16" t="n"/>
      <c r="K572" s="17" t="n"/>
    </row>
    <row r="573" ht="15.75" customHeight="1" s="18">
      <c r="E573" s="16" t="n"/>
      <c r="K573" s="17" t="n"/>
    </row>
    <row r="574" ht="15.75" customHeight="1" s="18">
      <c r="E574" s="16" t="n"/>
      <c r="K574" s="17" t="n"/>
    </row>
    <row r="575" ht="15.75" customHeight="1" s="18">
      <c r="E575" s="16" t="n"/>
      <c r="K575" s="17" t="n"/>
    </row>
    <row r="576" ht="15.75" customHeight="1" s="18">
      <c r="E576" s="16" t="n"/>
      <c r="K576" s="17" t="n"/>
    </row>
    <row r="577" ht="15.75" customHeight="1" s="18">
      <c r="E577" s="16" t="n"/>
      <c r="K577" s="17" t="n"/>
    </row>
    <row r="578" ht="15.75" customHeight="1" s="18">
      <c r="E578" s="16" t="n"/>
      <c r="K578" s="17" t="n"/>
    </row>
    <row r="579" ht="15.75" customHeight="1" s="18">
      <c r="E579" s="16" t="n"/>
      <c r="K579" s="17" t="n"/>
    </row>
    <row r="580" ht="15.75" customHeight="1" s="18">
      <c r="E580" s="16" t="n"/>
      <c r="K580" s="17" t="n"/>
    </row>
    <row r="581" ht="15.75" customHeight="1" s="18">
      <c r="E581" s="16" t="n"/>
      <c r="K581" s="17" t="n"/>
    </row>
    <row r="582" ht="15.75" customHeight="1" s="18">
      <c r="E582" s="16" t="n"/>
      <c r="K582" s="17" t="n"/>
    </row>
    <row r="583" ht="15.75" customHeight="1" s="18">
      <c r="E583" s="16" t="n"/>
      <c r="K583" s="17" t="n"/>
    </row>
    <row r="584" ht="15.75" customHeight="1" s="18">
      <c r="E584" s="16" t="n"/>
      <c r="K584" s="17" t="n"/>
    </row>
    <row r="585" ht="15.75" customHeight="1" s="18">
      <c r="E585" s="16" t="n"/>
      <c r="K585" s="17" t="n"/>
    </row>
    <row r="586" ht="15.75" customHeight="1" s="18">
      <c r="E586" s="16" t="n"/>
      <c r="K586" s="17" t="n"/>
    </row>
    <row r="587" ht="15.75" customHeight="1" s="18">
      <c r="E587" s="16" t="n"/>
      <c r="K587" s="17" t="n"/>
    </row>
    <row r="588" ht="15.75" customHeight="1" s="18">
      <c r="E588" s="16" t="n"/>
      <c r="K588" s="17" t="n"/>
    </row>
    <row r="589" ht="15.75" customHeight="1" s="18">
      <c r="E589" s="16" t="n"/>
      <c r="K589" s="17" t="n"/>
    </row>
    <row r="590" ht="15.75" customHeight="1" s="18">
      <c r="E590" s="16" t="n"/>
      <c r="K590" s="17" t="n"/>
    </row>
    <row r="591" ht="15.75" customHeight="1" s="18">
      <c r="E591" s="16" t="n"/>
      <c r="K591" s="17" t="n"/>
    </row>
    <row r="592" ht="15.75" customHeight="1" s="18">
      <c r="E592" s="16" t="n"/>
      <c r="K592" s="17" t="n"/>
    </row>
    <row r="593" ht="15.75" customHeight="1" s="18">
      <c r="E593" s="16" t="n"/>
      <c r="K593" s="17" t="n"/>
    </row>
    <row r="594" ht="15.75" customHeight="1" s="18">
      <c r="E594" s="16" t="n"/>
      <c r="K594" s="17" t="n"/>
    </row>
    <row r="595" ht="15.75" customHeight="1" s="18">
      <c r="E595" s="16" t="n"/>
      <c r="K595" s="17" t="n"/>
    </row>
    <row r="596" ht="15.75" customHeight="1" s="18">
      <c r="E596" s="16" t="n"/>
      <c r="K596" s="17" t="n"/>
    </row>
    <row r="597" ht="15.75" customHeight="1" s="18">
      <c r="E597" s="16" t="n"/>
      <c r="K597" s="17" t="n"/>
    </row>
    <row r="598" ht="15.75" customHeight="1" s="18">
      <c r="E598" s="16" t="n"/>
      <c r="K598" s="17" t="n"/>
    </row>
    <row r="599" ht="15.75" customHeight="1" s="18">
      <c r="E599" s="16" t="n"/>
      <c r="K599" s="17" t="n"/>
    </row>
    <row r="600" ht="15.75" customHeight="1" s="18">
      <c r="E600" s="16" t="n"/>
      <c r="K600" s="17" t="n"/>
    </row>
    <row r="601" ht="15.75" customHeight="1" s="18">
      <c r="E601" s="16" t="n"/>
      <c r="K601" s="17" t="n"/>
    </row>
    <row r="602" ht="15.75" customHeight="1" s="18">
      <c r="E602" s="16" t="n"/>
      <c r="K602" s="17" t="n"/>
    </row>
    <row r="603" ht="15.75" customHeight="1" s="18">
      <c r="E603" s="16" t="n"/>
      <c r="K603" s="17" t="n"/>
    </row>
    <row r="604" ht="15.75" customHeight="1" s="18">
      <c r="E604" s="16" t="n"/>
      <c r="K604" s="17" t="n"/>
    </row>
    <row r="605" ht="15.75" customHeight="1" s="18">
      <c r="E605" s="16" t="n"/>
      <c r="K605" s="17" t="n"/>
    </row>
    <row r="606" ht="15.75" customHeight="1" s="18">
      <c r="E606" s="16" t="n"/>
      <c r="K606" s="17" t="n"/>
    </row>
    <row r="607" ht="15.75" customHeight="1" s="18">
      <c r="E607" s="16" t="n"/>
      <c r="K607" s="17" t="n"/>
    </row>
    <row r="608" ht="15.75" customHeight="1" s="18">
      <c r="E608" s="16" t="n"/>
      <c r="K608" s="17" t="n"/>
    </row>
    <row r="609" ht="15.75" customHeight="1" s="18">
      <c r="E609" s="16" t="n"/>
      <c r="K609" s="17" t="n"/>
    </row>
    <row r="610" ht="15.75" customHeight="1" s="18">
      <c r="E610" s="16" t="n"/>
      <c r="K610" s="17" t="n"/>
    </row>
    <row r="611" ht="15.75" customHeight="1" s="18">
      <c r="E611" s="16" t="n"/>
      <c r="K611" s="17" t="n"/>
    </row>
    <row r="612" ht="15.75" customHeight="1" s="18">
      <c r="E612" s="16" t="n"/>
      <c r="K612" s="17" t="n"/>
    </row>
    <row r="613" ht="15.75" customHeight="1" s="18">
      <c r="E613" s="16" t="n"/>
      <c r="K613" s="17" t="n"/>
    </row>
    <row r="614" ht="15.75" customHeight="1" s="18">
      <c r="E614" s="16" t="n"/>
      <c r="K614" s="17" t="n"/>
    </row>
    <row r="615" ht="15.75" customHeight="1" s="18">
      <c r="E615" s="16" t="n"/>
      <c r="K615" s="17" t="n"/>
    </row>
    <row r="616" ht="15.75" customHeight="1" s="18">
      <c r="E616" s="16" t="n"/>
      <c r="K616" s="17" t="n"/>
    </row>
    <row r="617" ht="15.75" customHeight="1" s="18">
      <c r="E617" s="16" t="n"/>
      <c r="K617" s="17" t="n"/>
    </row>
    <row r="618" ht="15.75" customHeight="1" s="18">
      <c r="E618" s="16" t="n"/>
      <c r="K618" s="17" t="n"/>
    </row>
    <row r="619" ht="15.75" customHeight="1" s="18">
      <c r="E619" s="16" t="n"/>
      <c r="K619" s="17" t="n"/>
    </row>
    <row r="620" ht="15.75" customHeight="1" s="18">
      <c r="E620" s="16" t="n"/>
      <c r="K620" s="17" t="n"/>
    </row>
    <row r="621" ht="15.75" customHeight="1" s="18">
      <c r="E621" s="16" t="n"/>
      <c r="K621" s="17" t="n"/>
    </row>
    <row r="622" ht="15.75" customHeight="1" s="18">
      <c r="E622" s="16" t="n"/>
      <c r="K622" s="17" t="n"/>
    </row>
    <row r="623" ht="15.75" customHeight="1" s="18">
      <c r="E623" s="16" t="n"/>
      <c r="K623" s="17" t="n"/>
    </row>
    <row r="624" ht="15.75" customHeight="1" s="18">
      <c r="E624" s="16" t="n"/>
      <c r="K624" s="17" t="n"/>
    </row>
    <row r="625" ht="15.75" customHeight="1" s="18">
      <c r="E625" s="16" t="n"/>
      <c r="K625" s="17" t="n"/>
    </row>
    <row r="626" ht="15.75" customHeight="1" s="18">
      <c r="E626" s="16" t="n"/>
      <c r="K626" s="17" t="n"/>
    </row>
    <row r="627" ht="15.75" customHeight="1" s="18">
      <c r="E627" s="16" t="n"/>
      <c r="K627" s="17" t="n"/>
    </row>
    <row r="628" ht="15.75" customHeight="1" s="18">
      <c r="E628" s="16" t="n"/>
      <c r="K628" s="17" t="n"/>
    </row>
    <row r="629" ht="15.75" customHeight="1" s="18">
      <c r="E629" s="16" t="n"/>
      <c r="K629" s="17" t="n"/>
    </row>
    <row r="630" ht="15.75" customHeight="1" s="18">
      <c r="E630" s="16" t="n"/>
      <c r="K630" s="17" t="n"/>
    </row>
    <row r="631" ht="15.75" customHeight="1" s="18">
      <c r="E631" s="16" t="n"/>
      <c r="K631" s="17" t="n"/>
    </row>
    <row r="632" ht="15.75" customHeight="1" s="18">
      <c r="E632" s="16" t="n"/>
      <c r="K632" s="17" t="n"/>
    </row>
    <row r="633" ht="15.75" customHeight="1" s="18">
      <c r="E633" s="16" t="n"/>
      <c r="K633" s="17" t="n"/>
    </row>
    <row r="634" ht="15.75" customHeight="1" s="18">
      <c r="E634" s="16" t="n"/>
      <c r="K634" s="17" t="n"/>
    </row>
    <row r="635" ht="15.75" customHeight="1" s="18">
      <c r="E635" s="16" t="n"/>
      <c r="K635" s="17" t="n"/>
    </row>
    <row r="636" ht="15.75" customHeight="1" s="18">
      <c r="E636" s="16" t="n"/>
      <c r="K636" s="17" t="n"/>
    </row>
    <row r="637" ht="15.75" customHeight="1" s="18">
      <c r="E637" s="16" t="n"/>
      <c r="K637" s="17" t="n"/>
    </row>
    <row r="638" ht="15.75" customHeight="1" s="18">
      <c r="E638" s="16" t="n"/>
      <c r="K638" s="17" t="n"/>
    </row>
    <row r="639" ht="15.75" customHeight="1" s="18">
      <c r="E639" s="16" t="n"/>
      <c r="K639" s="17" t="n"/>
    </row>
    <row r="640" ht="15.75" customHeight="1" s="18">
      <c r="E640" s="16" t="n"/>
      <c r="K640" s="17" t="n"/>
    </row>
    <row r="641" ht="15.75" customHeight="1" s="18">
      <c r="E641" s="16" t="n"/>
      <c r="K641" s="17" t="n"/>
    </row>
    <row r="642" ht="15.75" customHeight="1" s="18">
      <c r="E642" s="16" t="n"/>
      <c r="K642" s="17" t="n"/>
    </row>
    <row r="643" ht="15.75" customHeight="1" s="18">
      <c r="E643" s="16" t="n"/>
      <c r="K643" s="17" t="n"/>
    </row>
    <row r="644" ht="15.75" customHeight="1" s="18">
      <c r="E644" s="16" t="n"/>
      <c r="K644" s="17" t="n"/>
    </row>
    <row r="645" ht="15.75" customHeight="1" s="18">
      <c r="E645" s="16" t="n"/>
      <c r="K645" s="17" t="n"/>
    </row>
    <row r="646" ht="15.75" customHeight="1" s="18">
      <c r="E646" s="16" t="n"/>
      <c r="K646" s="17" t="n"/>
    </row>
    <row r="647" ht="15.75" customHeight="1" s="18">
      <c r="E647" s="16" t="n"/>
      <c r="K647" s="17" t="n"/>
    </row>
    <row r="648" ht="15.75" customHeight="1" s="18">
      <c r="E648" s="16" t="n"/>
      <c r="K648" s="17" t="n"/>
    </row>
    <row r="649" ht="15.75" customHeight="1" s="18">
      <c r="E649" s="16" t="n"/>
      <c r="K649" s="17" t="n"/>
    </row>
    <row r="650" ht="15.75" customHeight="1" s="18">
      <c r="E650" s="16" t="n"/>
      <c r="K650" s="17" t="n"/>
    </row>
    <row r="651" ht="15.75" customHeight="1" s="18">
      <c r="E651" s="16" t="n"/>
      <c r="K651" s="17" t="n"/>
    </row>
    <row r="652" ht="15.75" customHeight="1" s="18">
      <c r="E652" s="16" t="n"/>
      <c r="K652" s="17" t="n"/>
    </row>
    <row r="653" ht="15.75" customHeight="1" s="18">
      <c r="E653" s="16" t="n"/>
      <c r="K653" s="17" t="n"/>
    </row>
    <row r="654" ht="15.75" customHeight="1" s="18">
      <c r="E654" s="16" t="n"/>
      <c r="K654" s="17" t="n"/>
    </row>
    <row r="655" ht="15.75" customHeight="1" s="18">
      <c r="E655" s="16" t="n"/>
      <c r="K655" s="17" t="n"/>
    </row>
    <row r="656" ht="15.75" customHeight="1" s="18">
      <c r="E656" s="16" t="n"/>
      <c r="K656" s="17" t="n"/>
    </row>
    <row r="657" ht="15.75" customHeight="1" s="18">
      <c r="E657" s="16" t="n"/>
      <c r="K657" s="17" t="n"/>
    </row>
    <row r="658" ht="15.75" customHeight="1" s="18">
      <c r="E658" s="16" t="n"/>
      <c r="K658" s="17" t="n"/>
    </row>
    <row r="659" ht="15.75" customHeight="1" s="18">
      <c r="E659" s="16" t="n"/>
      <c r="K659" s="17" t="n"/>
    </row>
    <row r="660" ht="15.75" customHeight="1" s="18">
      <c r="E660" s="16" t="n"/>
      <c r="K660" s="17" t="n"/>
    </row>
    <row r="661" ht="15.75" customHeight="1" s="18">
      <c r="E661" s="16" t="n"/>
      <c r="K661" s="17" t="n"/>
    </row>
    <row r="662" ht="15.75" customHeight="1" s="18">
      <c r="E662" s="16" t="n"/>
      <c r="K662" s="17" t="n"/>
    </row>
    <row r="663" ht="15.75" customHeight="1" s="18">
      <c r="E663" s="16" t="n"/>
      <c r="K663" s="17" t="n"/>
    </row>
    <row r="664" ht="15.75" customHeight="1" s="18">
      <c r="E664" s="16" t="n"/>
      <c r="K664" s="17" t="n"/>
    </row>
    <row r="665" ht="15.75" customHeight="1" s="18">
      <c r="E665" s="16" t="n"/>
      <c r="K665" s="17" t="n"/>
    </row>
    <row r="666" ht="15.75" customHeight="1" s="18">
      <c r="E666" s="16" t="n"/>
      <c r="K666" s="17" t="n"/>
    </row>
    <row r="667" ht="15.75" customHeight="1" s="18">
      <c r="E667" s="16" t="n"/>
      <c r="K667" s="17" t="n"/>
    </row>
    <row r="668" ht="15.75" customHeight="1" s="18">
      <c r="E668" s="16" t="n"/>
      <c r="K668" s="17" t="n"/>
    </row>
    <row r="669" ht="15.75" customHeight="1" s="18">
      <c r="E669" s="16" t="n"/>
      <c r="K669" s="17" t="n"/>
    </row>
    <row r="670" ht="15.75" customHeight="1" s="18">
      <c r="E670" s="16" t="n"/>
      <c r="K670" s="17" t="n"/>
    </row>
    <row r="671" ht="15.75" customHeight="1" s="18">
      <c r="E671" s="16" t="n"/>
      <c r="K671" s="17" t="n"/>
    </row>
    <row r="672" ht="15.75" customHeight="1" s="18">
      <c r="E672" s="16" t="n"/>
      <c r="K672" s="17" t="n"/>
    </row>
    <row r="673" ht="15.75" customHeight="1" s="18">
      <c r="E673" s="16" t="n"/>
      <c r="K673" s="17" t="n"/>
    </row>
    <row r="674" ht="15.75" customHeight="1" s="18">
      <c r="E674" s="16" t="n"/>
      <c r="K674" s="17" t="n"/>
    </row>
    <row r="675" ht="15.75" customHeight="1" s="18">
      <c r="E675" s="16" t="n"/>
      <c r="K675" s="17" t="n"/>
    </row>
    <row r="676" ht="15.75" customHeight="1" s="18">
      <c r="E676" s="16" t="n"/>
      <c r="K676" s="17" t="n"/>
    </row>
    <row r="677" ht="15.75" customHeight="1" s="18">
      <c r="E677" s="16" t="n"/>
      <c r="K677" s="17" t="n"/>
    </row>
    <row r="678" ht="15.75" customHeight="1" s="18">
      <c r="E678" s="16" t="n"/>
      <c r="K678" s="17" t="n"/>
    </row>
    <row r="679" ht="15.75" customHeight="1" s="18">
      <c r="E679" s="16" t="n"/>
      <c r="K679" s="17" t="n"/>
    </row>
    <row r="680" ht="15.75" customHeight="1" s="18">
      <c r="E680" s="16" t="n"/>
      <c r="K680" s="17" t="n"/>
    </row>
    <row r="681" ht="15.75" customHeight="1" s="18">
      <c r="E681" s="16" t="n"/>
      <c r="K681" s="17" t="n"/>
    </row>
    <row r="682" ht="15.75" customHeight="1" s="18">
      <c r="E682" s="16" t="n"/>
      <c r="K682" s="17" t="n"/>
    </row>
    <row r="683" ht="15.75" customHeight="1" s="18">
      <c r="E683" s="16" t="n"/>
      <c r="K683" s="17" t="n"/>
    </row>
    <row r="684" ht="15.75" customHeight="1" s="18">
      <c r="E684" s="16" t="n"/>
      <c r="K684" s="17" t="n"/>
    </row>
    <row r="685" ht="15.75" customHeight="1" s="18">
      <c r="E685" s="16" t="n"/>
      <c r="K685" s="17" t="n"/>
    </row>
    <row r="686" ht="15.75" customHeight="1" s="18">
      <c r="E686" s="16" t="n"/>
      <c r="K686" s="17" t="n"/>
    </row>
    <row r="687" ht="15.75" customHeight="1" s="18">
      <c r="E687" s="16" t="n"/>
      <c r="K687" s="17" t="n"/>
    </row>
    <row r="688" ht="15.75" customHeight="1" s="18">
      <c r="E688" s="16" t="n"/>
      <c r="K688" s="17" t="n"/>
    </row>
    <row r="689" ht="15.75" customHeight="1" s="18">
      <c r="E689" s="16" t="n"/>
      <c r="K689" s="17" t="n"/>
    </row>
    <row r="690" ht="15.75" customHeight="1" s="18">
      <c r="E690" s="16" t="n"/>
      <c r="K690" s="17" t="n"/>
    </row>
    <row r="691" ht="15.75" customHeight="1" s="18">
      <c r="E691" s="16" t="n"/>
      <c r="K691" s="17" t="n"/>
    </row>
    <row r="692" ht="15.75" customHeight="1" s="18">
      <c r="E692" s="16" t="n"/>
      <c r="K692" s="17" t="n"/>
    </row>
    <row r="693" ht="15.75" customHeight="1" s="18">
      <c r="E693" s="16" t="n"/>
      <c r="K693" s="17" t="n"/>
    </row>
    <row r="694" ht="15.75" customHeight="1" s="18">
      <c r="E694" s="16" t="n"/>
      <c r="K694" s="17" t="n"/>
    </row>
    <row r="695" ht="15.75" customHeight="1" s="18">
      <c r="E695" s="16" t="n"/>
      <c r="K695" s="17" t="n"/>
    </row>
    <row r="696" ht="15.75" customHeight="1" s="18">
      <c r="E696" s="16" t="n"/>
      <c r="K696" s="17" t="n"/>
    </row>
    <row r="697" ht="15.75" customHeight="1" s="18">
      <c r="E697" s="16" t="n"/>
      <c r="K697" s="17" t="n"/>
    </row>
    <row r="698" ht="15.75" customHeight="1" s="18">
      <c r="E698" s="16" t="n"/>
      <c r="K698" s="17" t="n"/>
    </row>
    <row r="699" ht="15.75" customHeight="1" s="18">
      <c r="E699" s="16" t="n"/>
      <c r="K699" s="17" t="n"/>
    </row>
    <row r="700" ht="15.75" customHeight="1" s="18">
      <c r="E700" s="16" t="n"/>
      <c r="K700" s="17" t="n"/>
    </row>
    <row r="701" ht="15.75" customHeight="1" s="18">
      <c r="E701" s="16" t="n"/>
      <c r="K701" s="17" t="n"/>
    </row>
    <row r="702" ht="15.75" customHeight="1" s="18">
      <c r="E702" s="16" t="n"/>
      <c r="K702" s="17" t="n"/>
    </row>
    <row r="703" ht="15.75" customHeight="1" s="18">
      <c r="E703" s="16" t="n"/>
      <c r="K703" s="17" t="n"/>
    </row>
    <row r="704" ht="15.75" customHeight="1" s="18">
      <c r="E704" s="16" t="n"/>
      <c r="K704" s="17" t="n"/>
    </row>
    <row r="705" ht="15.75" customHeight="1" s="18">
      <c r="E705" s="16" t="n"/>
      <c r="K705" s="17" t="n"/>
    </row>
    <row r="706" ht="15.75" customHeight="1" s="18">
      <c r="E706" s="16" t="n"/>
      <c r="K706" s="17" t="n"/>
    </row>
    <row r="707" ht="15.75" customHeight="1" s="18">
      <c r="E707" s="16" t="n"/>
      <c r="K707" s="17" t="n"/>
    </row>
    <row r="708" ht="15.75" customHeight="1" s="18">
      <c r="E708" s="16" t="n"/>
      <c r="K708" s="17" t="n"/>
    </row>
    <row r="709" ht="15.75" customHeight="1" s="18">
      <c r="E709" s="16" t="n"/>
      <c r="K709" s="17" t="n"/>
    </row>
    <row r="710" ht="15.75" customHeight="1" s="18">
      <c r="E710" s="16" t="n"/>
      <c r="K710" s="17" t="n"/>
    </row>
    <row r="711" ht="15.75" customHeight="1" s="18">
      <c r="E711" s="16" t="n"/>
      <c r="K711" s="17" t="n"/>
    </row>
    <row r="712" ht="15.75" customHeight="1" s="18">
      <c r="E712" s="16" t="n"/>
      <c r="K712" s="17" t="n"/>
    </row>
    <row r="713" ht="15.75" customHeight="1" s="18">
      <c r="E713" s="16" t="n"/>
      <c r="K713" s="17" t="n"/>
    </row>
    <row r="714" ht="15.75" customHeight="1" s="18">
      <c r="E714" s="16" t="n"/>
      <c r="K714" s="17" t="n"/>
    </row>
    <row r="715" ht="15.75" customHeight="1" s="18">
      <c r="E715" s="16" t="n"/>
      <c r="K715" s="17" t="n"/>
    </row>
    <row r="716" ht="15.75" customHeight="1" s="18">
      <c r="E716" s="16" t="n"/>
      <c r="K716" s="17" t="n"/>
    </row>
    <row r="717" ht="15.75" customHeight="1" s="18">
      <c r="E717" s="16" t="n"/>
      <c r="K717" s="17" t="n"/>
    </row>
    <row r="718" ht="15.75" customHeight="1" s="18">
      <c r="E718" s="16" t="n"/>
      <c r="K718" s="17" t="n"/>
    </row>
    <row r="719" ht="15.75" customHeight="1" s="18">
      <c r="E719" s="16" t="n"/>
      <c r="K719" s="17" t="n"/>
    </row>
    <row r="720" ht="15.75" customHeight="1" s="18">
      <c r="E720" s="16" t="n"/>
      <c r="K720" s="17" t="n"/>
    </row>
    <row r="721" ht="15.75" customHeight="1" s="18">
      <c r="E721" s="16" t="n"/>
      <c r="K721" s="17" t="n"/>
    </row>
    <row r="722" ht="15.75" customHeight="1" s="18">
      <c r="E722" s="16" t="n"/>
      <c r="K722" s="17" t="n"/>
    </row>
    <row r="723" ht="15.75" customHeight="1" s="18">
      <c r="E723" s="16" t="n"/>
      <c r="K723" s="17" t="n"/>
    </row>
    <row r="724" ht="15.75" customHeight="1" s="18">
      <c r="E724" s="16" t="n"/>
      <c r="K724" s="17" t="n"/>
    </row>
    <row r="725" ht="15.75" customHeight="1" s="18">
      <c r="E725" s="16" t="n"/>
      <c r="K725" s="17" t="n"/>
    </row>
    <row r="726" ht="15.75" customHeight="1" s="18">
      <c r="E726" s="16" t="n"/>
      <c r="K726" s="17" t="n"/>
    </row>
    <row r="727" ht="15.75" customHeight="1" s="18">
      <c r="E727" s="16" t="n"/>
      <c r="K727" s="17" t="n"/>
    </row>
    <row r="728" ht="15.75" customHeight="1" s="18">
      <c r="E728" s="16" t="n"/>
      <c r="K728" s="17" t="n"/>
    </row>
    <row r="729" ht="15.75" customHeight="1" s="18">
      <c r="E729" s="16" t="n"/>
      <c r="K729" s="17" t="n"/>
    </row>
    <row r="730" ht="15.75" customHeight="1" s="18">
      <c r="E730" s="16" t="n"/>
      <c r="K730" s="17" t="n"/>
    </row>
    <row r="731" ht="15.75" customHeight="1" s="18">
      <c r="E731" s="16" t="n"/>
      <c r="K731" s="17" t="n"/>
    </row>
    <row r="732" ht="15.75" customHeight="1" s="18">
      <c r="E732" s="16" t="n"/>
      <c r="K732" s="17" t="n"/>
    </row>
    <row r="733" ht="15.75" customHeight="1" s="18">
      <c r="E733" s="16" t="n"/>
      <c r="K733" s="17" t="n"/>
    </row>
    <row r="734" ht="15.75" customHeight="1" s="18">
      <c r="E734" s="16" t="n"/>
      <c r="K734" s="17" t="n"/>
    </row>
    <row r="735" ht="15.75" customHeight="1" s="18">
      <c r="E735" s="16" t="n"/>
      <c r="K735" s="17" t="n"/>
    </row>
    <row r="736" ht="15.75" customHeight="1" s="18">
      <c r="E736" s="16" t="n"/>
      <c r="K736" s="17" t="n"/>
    </row>
    <row r="737" ht="15.75" customHeight="1" s="18">
      <c r="E737" s="16" t="n"/>
      <c r="K737" s="17" t="n"/>
    </row>
    <row r="738" ht="15.75" customHeight="1" s="18">
      <c r="E738" s="16" t="n"/>
      <c r="K738" s="17" t="n"/>
    </row>
    <row r="739" ht="15.75" customHeight="1" s="18">
      <c r="E739" s="16" t="n"/>
      <c r="K739" s="17" t="n"/>
    </row>
    <row r="740" ht="15.75" customHeight="1" s="18">
      <c r="E740" s="16" t="n"/>
      <c r="K740" s="17" t="n"/>
    </row>
    <row r="741" ht="15.75" customHeight="1" s="18">
      <c r="E741" s="16" t="n"/>
      <c r="K741" s="17" t="n"/>
    </row>
    <row r="742" ht="15.75" customHeight="1" s="18">
      <c r="E742" s="16" t="n"/>
      <c r="K742" s="17" t="n"/>
    </row>
    <row r="743" ht="15.75" customHeight="1" s="18">
      <c r="E743" s="16" t="n"/>
      <c r="K743" s="17" t="n"/>
    </row>
    <row r="744" ht="15.75" customHeight="1" s="18">
      <c r="E744" s="16" t="n"/>
      <c r="K744" s="17" t="n"/>
    </row>
    <row r="745" ht="15.75" customHeight="1" s="18">
      <c r="E745" s="16" t="n"/>
      <c r="K745" s="17" t="n"/>
    </row>
    <row r="746" ht="15.75" customHeight="1" s="18">
      <c r="E746" s="16" t="n"/>
      <c r="K746" s="17" t="n"/>
    </row>
    <row r="747" ht="15.75" customHeight="1" s="18">
      <c r="E747" s="16" t="n"/>
      <c r="K747" s="17" t="n"/>
    </row>
    <row r="748" ht="15.75" customHeight="1" s="18">
      <c r="E748" s="16" t="n"/>
      <c r="K748" s="17" t="n"/>
    </row>
    <row r="749" ht="15.75" customHeight="1" s="18">
      <c r="E749" s="16" t="n"/>
      <c r="K749" s="17" t="n"/>
    </row>
    <row r="750" ht="15.75" customHeight="1" s="18">
      <c r="E750" s="16" t="n"/>
      <c r="K750" s="17" t="n"/>
    </row>
    <row r="751" ht="15.75" customHeight="1" s="18">
      <c r="E751" s="16" t="n"/>
      <c r="K751" s="17" t="n"/>
    </row>
    <row r="752" ht="15.75" customHeight="1" s="18">
      <c r="E752" s="16" t="n"/>
      <c r="K752" s="17" t="n"/>
    </row>
    <row r="753" ht="15.75" customHeight="1" s="18">
      <c r="E753" s="16" t="n"/>
      <c r="K753" s="17" t="n"/>
    </row>
    <row r="754" ht="15.75" customHeight="1" s="18">
      <c r="E754" s="16" t="n"/>
      <c r="K754" s="17" t="n"/>
    </row>
    <row r="755" ht="15.75" customHeight="1" s="18">
      <c r="E755" s="16" t="n"/>
      <c r="K755" s="17" t="n"/>
    </row>
    <row r="756" ht="15.75" customHeight="1" s="18">
      <c r="E756" s="16" t="n"/>
      <c r="K756" s="17" t="n"/>
    </row>
    <row r="757" ht="15.75" customHeight="1" s="18">
      <c r="E757" s="16" t="n"/>
      <c r="K757" s="17" t="n"/>
    </row>
    <row r="758" ht="15.75" customHeight="1" s="18">
      <c r="E758" s="16" t="n"/>
      <c r="K758" s="17" t="n"/>
    </row>
    <row r="759" ht="15.75" customHeight="1" s="18">
      <c r="E759" s="16" t="n"/>
      <c r="K759" s="17" t="n"/>
    </row>
    <row r="760" ht="15.75" customHeight="1" s="18">
      <c r="E760" s="16" t="n"/>
      <c r="K760" s="17" t="n"/>
    </row>
    <row r="761" ht="15.75" customHeight="1" s="18">
      <c r="E761" s="16" t="n"/>
      <c r="K761" s="17" t="n"/>
    </row>
    <row r="762" ht="15.75" customHeight="1" s="18">
      <c r="E762" s="16" t="n"/>
      <c r="K762" s="17" t="n"/>
    </row>
    <row r="763" ht="15.75" customHeight="1" s="18">
      <c r="E763" s="16" t="n"/>
      <c r="K763" s="17" t="n"/>
    </row>
    <row r="764" ht="15.75" customHeight="1" s="18">
      <c r="E764" s="16" t="n"/>
      <c r="K764" s="17" t="n"/>
    </row>
    <row r="765" ht="15.75" customHeight="1" s="18">
      <c r="E765" s="16" t="n"/>
      <c r="K765" s="17" t="n"/>
    </row>
    <row r="766" ht="15.75" customHeight="1" s="18">
      <c r="E766" s="16" t="n"/>
      <c r="K766" s="17" t="n"/>
    </row>
    <row r="767" ht="15.75" customHeight="1" s="18">
      <c r="E767" s="16" t="n"/>
      <c r="K767" s="17" t="n"/>
    </row>
    <row r="768" ht="15.75" customHeight="1" s="18">
      <c r="E768" s="16" t="n"/>
      <c r="K768" s="17" t="n"/>
    </row>
    <row r="769" ht="15.75" customHeight="1" s="18">
      <c r="E769" s="16" t="n"/>
      <c r="K769" s="17" t="n"/>
    </row>
    <row r="770" ht="15.75" customHeight="1" s="18">
      <c r="E770" s="16" t="n"/>
      <c r="K770" s="17" t="n"/>
    </row>
    <row r="771" ht="15.75" customHeight="1" s="18">
      <c r="E771" s="16" t="n"/>
      <c r="K771" s="17" t="n"/>
    </row>
    <row r="772" ht="15.75" customHeight="1" s="18">
      <c r="E772" s="16" t="n"/>
      <c r="K772" s="17" t="n"/>
    </row>
    <row r="773" ht="15.75" customHeight="1" s="18">
      <c r="E773" s="16" t="n"/>
      <c r="K773" s="17" t="n"/>
    </row>
    <row r="774" ht="15.75" customHeight="1" s="18">
      <c r="E774" s="16" t="n"/>
      <c r="K774" s="17" t="n"/>
    </row>
    <row r="775" ht="15.75" customHeight="1" s="18">
      <c r="E775" s="16" t="n"/>
      <c r="K775" s="17" t="n"/>
    </row>
    <row r="776" ht="15.75" customHeight="1" s="18">
      <c r="E776" s="16" t="n"/>
      <c r="K776" s="17" t="n"/>
    </row>
    <row r="777" ht="15.75" customHeight="1" s="18">
      <c r="E777" s="16" t="n"/>
      <c r="K777" s="17" t="n"/>
    </row>
    <row r="778" ht="15.75" customHeight="1" s="18">
      <c r="E778" s="16" t="n"/>
      <c r="K778" s="17" t="n"/>
    </row>
    <row r="779" ht="15.75" customHeight="1" s="18">
      <c r="E779" s="16" t="n"/>
      <c r="K779" s="17" t="n"/>
    </row>
    <row r="780" ht="15.75" customHeight="1" s="18">
      <c r="E780" s="16" t="n"/>
      <c r="K780" s="17" t="n"/>
    </row>
    <row r="781" ht="15.75" customHeight="1" s="18">
      <c r="E781" s="16" t="n"/>
      <c r="K781" s="17" t="n"/>
    </row>
    <row r="782" ht="15.75" customHeight="1" s="18">
      <c r="E782" s="16" t="n"/>
      <c r="K782" s="17" t="n"/>
    </row>
    <row r="783" ht="15.75" customHeight="1" s="18">
      <c r="E783" s="16" t="n"/>
      <c r="K783" s="17" t="n"/>
    </row>
    <row r="784" ht="15.75" customHeight="1" s="18">
      <c r="E784" s="16" t="n"/>
      <c r="K784" s="17" t="n"/>
    </row>
    <row r="785" ht="15.75" customHeight="1" s="18">
      <c r="E785" s="16" t="n"/>
      <c r="K785" s="17" t="n"/>
    </row>
    <row r="786" ht="15.75" customHeight="1" s="18">
      <c r="E786" s="16" t="n"/>
      <c r="K786" s="17" t="n"/>
    </row>
    <row r="787" ht="15.75" customHeight="1" s="18">
      <c r="E787" s="16" t="n"/>
      <c r="K787" s="17" t="n"/>
    </row>
    <row r="788" ht="15.75" customHeight="1" s="18">
      <c r="E788" s="16" t="n"/>
      <c r="K788" s="17" t="n"/>
    </row>
    <row r="789" ht="15.75" customHeight="1" s="18">
      <c r="E789" s="16" t="n"/>
      <c r="K789" s="17" t="n"/>
    </row>
    <row r="790" ht="15.75" customHeight="1" s="18">
      <c r="E790" s="16" t="n"/>
      <c r="K790" s="17" t="n"/>
    </row>
    <row r="791" ht="15.75" customHeight="1" s="18">
      <c r="E791" s="16" t="n"/>
      <c r="K791" s="17" t="n"/>
    </row>
    <row r="792" ht="15.75" customHeight="1" s="18">
      <c r="E792" s="16" t="n"/>
      <c r="K792" s="17" t="n"/>
    </row>
    <row r="793" ht="15.75" customHeight="1" s="18">
      <c r="E793" s="16" t="n"/>
      <c r="K793" s="17" t="n"/>
    </row>
    <row r="794" ht="15.75" customHeight="1" s="18">
      <c r="E794" s="16" t="n"/>
      <c r="K794" s="17" t="n"/>
    </row>
    <row r="795" ht="15.75" customHeight="1" s="18">
      <c r="E795" s="16" t="n"/>
      <c r="K795" s="17" t="n"/>
    </row>
    <row r="796" ht="15.75" customHeight="1" s="18">
      <c r="E796" s="16" t="n"/>
      <c r="K796" s="17" t="n"/>
    </row>
    <row r="797" ht="15.75" customHeight="1" s="18">
      <c r="E797" s="16" t="n"/>
      <c r="K797" s="17" t="n"/>
    </row>
    <row r="798" ht="15.75" customHeight="1" s="18">
      <c r="E798" s="16" t="n"/>
      <c r="K798" s="17" t="n"/>
    </row>
    <row r="799" ht="15.75" customHeight="1" s="18">
      <c r="E799" s="16" t="n"/>
      <c r="K799" s="17" t="n"/>
    </row>
    <row r="800" ht="15.75" customHeight="1" s="18">
      <c r="E800" s="16" t="n"/>
      <c r="K800" s="17" t="n"/>
    </row>
    <row r="801" ht="15.75" customHeight="1" s="18">
      <c r="E801" s="16" t="n"/>
      <c r="K801" s="17" t="n"/>
    </row>
    <row r="802" ht="15.75" customHeight="1" s="18">
      <c r="E802" s="16" t="n"/>
      <c r="K802" s="17" t="n"/>
    </row>
    <row r="803" ht="15.75" customHeight="1" s="18">
      <c r="E803" s="16" t="n"/>
      <c r="K803" s="17" t="n"/>
    </row>
    <row r="804" ht="15.75" customHeight="1" s="18">
      <c r="E804" s="16" t="n"/>
      <c r="K804" s="17" t="n"/>
    </row>
    <row r="805" ht="15.75" customHeight="1" s="18">
      <c r="E805" s="16" t="n"/>
      <c r="K805" s="17" t="n"/>
    </row>
    <row r="806" ht="15.75" customHeight="1" s="18">
      <c r="E806" s="16" t="n"/>
      <c r="K806" s="17" t="n"/>
    </row>
    <row r="807" ht="15.75" customHeight="1" s="18">
      <c r="E807" s="16" t="n"/>
      <c r="K807" s="17" t="n"/>
    </row>
    <row r="808" ht="15.75" customHeight="1" s="18">
      <c r="E808" s="16" t="n"/>
      <c r="K808" s="17" t="n"/>
    </row>
    <row r="809" ht="15.75" customHeight="1" s="18">
      <c r="E809" s="16" t="n"/>
      <c r="K809" s="17" t="n"/>
    </row>
    <row r="810" ht="15.75" customHeight="1" s="18">
      <c r="E810" s="16" t="n"/>
      <c r="K810" s="17" t="n"/>
    </row>
    <row r="811" ht="15.75" customHeight="1" s="18">
      <c r="E811" s="16" t="n"/>
      <c r="K811" s="17" t="n"/>
    </row>
    <row r="812" ht="15.75" customHeight="1" s="18">
      <c r="E812" s="16" t="n"/>
      <c r="K812" s="17" t="n"/>
    </row>
    <row r="813" ht="15.75" customHeight="1" s="18">
      <c r="E813" s="16" t="n"/>
      <c r="K813" s="17" t="n"/>
    </row>
    <row r="814" ht="15.75" customHeight="1" s="18">
      <c r="E814" s="16" t="n"/>
      <c r="K814" s="17" t="n"/>
    </row>
    <row r="815" ht="15.75" customHeight="1" s="18">
      <c r="E815" s="16" t="n"/>
      <c r="K815" s="17" t="n"/>
    </row>
    <row r="816" ht="15.75" customHeight="1" s="18">
      <c r="E816" s="16" t="n"/>
      <c r="K816" s="17" t="n"/>
    </row>
    <row r="817" ht="15.75" customHeight="1" s="18">
      <c r="E817" s="16" t="n"/>
      <c r="K817" s="17" t="n"/>
    </row>
    <row r="818" ht="15.75" customHeight="1" s="18">
      <c r="E818" s="16" t="n"/>
      <c r="K818" s="17" t="n"/>
    </row>
    <row r="819" ht="15.75" customHeight="1" s="18">
      <c r="E819" s="16" t="n"/>
      <c r="K819" s="17" t="n"/>
    </row>
    <row r="820" ht="15.75" customHeight="1" s="18">
      <c r="E820" s="16" t="n"/>
      <c r="K820" s="17" t="n"/>
    </row>
    <row r="821" ht="15.75" customHeight="1" s="18">
      <c r="E821" s="16" t="n"/>
      <c r="K821" s="17" t="n"/>
    </row>
    <row r="822" ht="15.75" customHeight="1" s="18">
      <c r="E822" s="16" t="n"/>
      <c r="K822" s="17" t="n"/>
    </row>
    <row r="823" ht="15.75" customHeight="1" s="18">
      <c r="E823" s="16" t="n"/>
      <c r="K823" s="17" t="n"/>
    </row>
    <row r="824" ht="15.75" customHeight="1" s="18">
      <c r="E824" s="16" t="n"/>
      <c r="K824" s="17" t="n"/>
    </row>
    <row r="825" ht="15.75" customHeight="1" s="18">
      <c r="E825" s="16" t="n"/>
      <c r="K825" s="17" t="n"/>
    </row>
    <row r="826" ht="15.75" customHeight="1" s="18">
      <c r="E826" s="16" t="n"/>
      <c r="K826" s="17" t="n"/>
    </row>
    <row r="827" ht="15.75" customHeight="1" s="18">
      <c r="E827" s="16" t="n"/>
      <c r="K827" s="17" t="n"/>
    </row>
    <row r="828" ht="15.75" customHeight="1" s="18">
      <c r="E828" s="16" t="n"/>
      <c r="K828" s="17" t="n"/>
    </row>
    <row r="829" ht="15.75" customHeight="1" s="18">
      <c r="E829" s="16" t="n"/>
      <c r="K829" s="17" t="n"/>
    </row>
    <row r="830" ht="15.75" customHeight="1" s="18">
      <c r="E830" s="16" t="n"/>
      <c r="K830" s="17" t="n"/>
    </row>
    <row r="831" ht="15.75" customHeight="1" s="18">
      <c r="E831" s="16" t="n"/>
      <c r="K831" s="17" t="n"/>
    </row>
    <row r="832" ht="15.75" customHeight="1" s="18">
      <c r="E832" s="16" t="n"/>
      <c r="K832" s="17" t="n"/>
    </row>
    <row r="833" ht="15.75" customHeight="1" s="18">
      <c r="E833" s="16" t="n"/>
      <c r="K833" s="17" t="n"/>
    </row>
    <row r="834" ht="15.75" customHeight="1" s="18">
      <c r="E834" s="16" t="n"/>
      <c r="K834" s="17" t="n"/>
    </row>
    <row r="835" ht="15.75" customHeight="1" s="18">
      <c r="E835" s="16" t="n"/>
      <c r="K835" s="17" t="n"/>
    </row>
    <row r="836" ht="15.75" customHeight="1" s="18">
      <c r="E836" s="16" t="n"/>
      <c r="K836" s="17" t="n"/>
    </row>
    <row r="837" ht="15.75" customHeight="1" s="18">
      <c r="E837" s="16" t="n"/>
      <c r="K837" s="17" t="n"/>
    </row>
    <row r="838" ht="15.75" customHeight="1" s="18">
      <c r="E838" s="16" t="n"/>
      <c r="K838" s="17" t="n"/>
    </row>
    <row r="839" ht="15.75" customHeight="1" s="18">
      <c r="E839" s="16" t="n"/>
      <c r="K839" s="17" t="n"/>
    </row>
    <row r="840" ht="15.75" customHeight="1" s="18">
      <c r="E840" s="16" t="n"/>
      <c r="K840" s="17" t="n"/>
    </row>
    <row r="841" ht="15.75" customHeight="1" s="18">
      <c r="E841" s="16" t="n"/>
      <c r="K841" s="17" t="n"/>
    </row>
    <row r="842" ht="15.75" customHeight="1" s="18">
      <c r="E842" s="16" t="n"/>
      <c r="K842" s="17" t="n"/>
    </row>
    <row r="843" ht="15.75" customHeight="1" s="18">
      <c r="E843" s="16" t="n"/>
      <c r="K843" s="17" t="n"/>
    </row>
    <row r="844" ht="15.75" customHeight="1" s="18">
      <c r="E844" s="16" t="n"/>
      <c r="K844" s="17" t="n"/>
    </row>
    <row r="845" ht="15.75" customHeight="1" s="18">
      <c r="E845" s="16" t="n"/>
      <c r="K845" s="17" t="n"/>
    </row>
    <row r="846" ht="15.75" customHeight="1" s="18">
      <c r="E846" s="16" t="n"/>
      <c r="K846" s="17" t="n"/>
    </row>
    <row r="847" ht="15.75" customHeight="1" s="18">
      <c r="E847" s="16" t="n"/>
      <c r="K847" s="17" t="n"/>
    </row>
    <row r="848" ht="15.75" customHeight="1" s="18">
      <c r="E848" s="16" t="n"/>
      <c r="K848" s="17" t="n"/>
    </row>
    <row r="849" ht="15.75" customHeight="1" s="18">
      <c r="E849" s="16" t="n"/>
      <c r="K849" s="17" t="n"/>
    </row>
    <row r="850" ht="15.75" customHeight="1" s="18">
      <c r="E850" s="16" t="n"/>
      <c r="K850" s="17" t="n"/>
    </row>
    <row r="851" ht="15.75" customHeight="1" s="18">
      <c r="E851" s="16" t="n"/>
      <c r="K851" s="17" t="n"/>
    </row>
    <row r="852" ht="15.75" customHeight="1" s="18">
      <c r="E852" s="16" t="n"/>
      <c r="K852" s="17" t="n"/>
    </row>
    <row r="853" ht="15.75" customHeight="1" s="18">
      <c r="E853" s="16" t="n"/>
      <c r="K853" s="17" t="n"/>
    </row>
    <row r="854" ht="15.75" customHeight="1" s="18">
      <c r="E854" s="16" t="n"/>
      <c r="K854" s="17" t="n"/>
    </row>
    <row r="855" ht="15.75" customHeight="1" s="18">
      <c r="E855" s="16" t="n"/>
      <c r="K855" s="17" t="n"/>
    </row>
    <row r="856" ht="15.75" customHeight="1" s="18">
      <c r="E856" s="16" t="n"/>
      <c r="K856" s="17" t="n"/>
    </row>
    <row r="857" ht="15.75" customHeight="1" s="18">
      <c r="E857" s="16" t="n"/>
      <c r="K857" s="17" t="n"/>
    </row>
    <row r="858" ht="15.75" customHeight="1" s="18">
      <c r="E858" s="16" t="n"/>
      <c r="K858" s="17" t="n"/>
    </row>
    <row r="859" ht="15.75" customHeight="1" s="18">
      <c r="E859" s="16" t="n"/>
      <c r="K859" s="17" t="n"/>
    </row>
    <row r="860" ht="15.75" customHeight="1" s="18">
      <c r="E860" s="16" t="n"/>
      <c r="K860" s="17" t="n"/>
    </row>
    <row r="861" ht="15.75" customHeight="1" s="18">
      <c r="E861" s="16" t="n"/>
      <c r="K861" s="17" t="n"/>
    </row>
    <row r="862" ht="15.75" customHeight="1" s="18">
      <c r="E862" s="16" t="n"/>
      <c r="K862" s="17" t="n"/>
    </row>
    <row r="863" ht="15.75" customHeight="1" s="18">
      <c r="E863" s="16" t="n"/>
      <c r="K863" s="17" t="n"/>
    </row>
    <row r="864" ht="15.75" customHeight="1" s="18">
      <c r="E864" s="16" t="n"/>
      <c r="K864" s="17" t="n"/>
    </row>
    <row r="865" ht="15.75" customHeight="1" s="18">
      <c r="E865" s="16" t="n"/>
      <c r="K865" s="17" t="n"/>
    </row>
    <row r="866" ht="15.75" customHeight="1" s="18">
      <c r="E866" s="16" t="n"/>
      <c r="K866" s="17" t="n"/>
    </row>
    <row r="867" ht="15.75" customHeight="1" s="18">
      <c r="E867" s="16" t="n"/>
      <c r="K867" s="17" t="n"/>
    </row>
    <row r="868" ht="15.75" customHeight="1" s="18">
      <c r="E868" s="16" t="n"/>
      <c r="K868" s="17" t="n"/>
    </row>
    <row r="869" ht="15.75" customHeight="1" s="18">
      <c r="E869" s="16" t="n"/>
      <c r="K869" s="17" t="n"/>
    </row>
    <row r="870" ht="15.75" customHeight="1" s="18">
      <c r="E870" s="16" t="n"/>
      <c r="K870" s="17" t="n"/>
    </row>
    <row r="871" ht="15.75" customHeight="1" s="18">
      <c r="E871" s="16" t="n"/>
      <c r="K871" s="17" t="n"/>
    </row>
    <row r="872" ht="15.75" customHeight="1" s="18">
      <c r="E872" s="16" t="n"/>
      <c r="K872" s="17" t="n"/>
    </row>
    <row r="873" ht="15.75" customHeight="1" s="18">
      <c r="E873" s="16" t="n"/>
      <c r="K873" s="17" t="n"/>
    </row>
    <row r="874" ht="15.75" customHeight="1" s="18">
      <c r="E874" s="16" t="n"/>
      <c r="K874" s="17" t="n"/>
    </row>
    <row r="875" ht="15.75" customHeight="1" s="18">
      <c r="E875" s="16" t="n"/>
      <c r="K875" s="17" t="n"/>
    </row>
    <row r="876" ht="15.75" customHeight="1" s="18">
      <c r="E876" s="16" t="n"/>
      <c r="K876" s="17" t="n"/>
    </row>
    <row r="877" ht="15.75" customHeight="1" s="18">
      <c r="E877" s="16" t="n"/>
      <c r="K877" s="17" t="n"/>
    </row>
    <row r="878" ht="15.75" customHeight="1" s="18">
      <c r="E878" s="16" t="n"/>
      <c r="K878" s="17" t="n"/>
    </row>
    <row r="879" ht="15.75" customHeight="1" s="18">
      <c r="E879" s="16" t="n"/>
      <c r="K879" s="17" t="n"/>
    </row>
    <row r="880" ht="15.75" customHeight="1" s="18">
      <c r="E880" s="16" t="n"/>
      <c r="K880" s="17" t="n"/>
    </row>
    <row r="881" ht="15.75" customHeight="1" s="18">
      <c r="E881" s="16" t="n"/>
      <c r="K881" s="17" t="n"/>
    </row>
    <row r="882" ht="15.75" customHeight="1" s="18">
      <c r="E882" s="16" t="n"/>
      <c r="K882" s="17" t="n"/>
    </row>
    <row r="883" ht="15.75" customHeight="1" s="18">
      <c r="E883" s="16" t="n"/>
      <c r="K883" s="17" t="n"/>
    </row>
    <row r="884" ht="15.75" customHeight="1" s="18">
      <c r="E884" s="16" t="n"/>
      <c r="K884" s="17" t="n"/>
    </row>
    <row r="885" ht="15.75" customHeight="1" s="18">
      <c r="E885" s="16" t="n"/>
      <c r="K885" s="17" t="n"/>
    </row>
    <row r="886" ht="15.75" customHeight="1" s="18">
      <c r="E886" s="16" t="n"/>
      <c r="K886" s="17" t="n"/>
    </row>
    <row r="887" ht="15.75" customHeight="1" s="18">
      <c r="E887" s="16" t="n"/>
      <c r="K887" s="17" t="n"/>
    </row>
    <row r="888" ht="15.75" customHeight="1" s="18">
      <c r="E888" s="16" t="n"/>
      <c r="K888" s="17" t="n"/>
    </row>
    <row r="889" ht="15.75" customHeight="1" s="18">
      <c r="E889" s="16" t="n"/>
      <c r="K889" s="17" t="n"/>
    </row>
    <row r="890" ht="15.75" customHeight="1" s="18">
      <c r="E890" s="16" t="n"/>
      <c r="K890" s="17" t="n"/>
    </row>
    <row r="891" ht="15.75" customHeight="1" s="18">
      <c r="E891" s="16" t="n"/>
      <c r="K891" s="17" t="n"/>
    </row>
    <row r="892" ht="15.75" customHeight="1" s="18">
      <c r="E892" s="16" t="n"/>
      <c r="K892" s="17" t="n"/>
    </row>
    <row r="893" ht="15.75" customHeight="1" s="18">
      <c r="E893" s="16" t="n"/>
      <c r="K893" s="17" t="n"/>
    </row>
    <row r="894" ht="15.75" customHeight="1" s="18">
      <c r="E894" s="16" t="n"/>
      <c r="K894" s="17" t="n"/>
    </row>
    <row r="895" ht="15.75" customHeight="1" s="18">
      <c r="E895" s="16" t="n"/>
      <c r="K895" s="17" t="n"/>
    </row>
    <row r="896" ht="15.75" customHeight="1" s="18">
      <c r="E896" s="16" t="n"/>
      <c r="K896" s="17" t="n"/>
    </row>
    <row r="897" ht="15.75" customHeight="1" s="18">
      <c r="E897" s="16" t="n"/>
      <c r="K897" s="17" t="n"/>
    </row>
    <row r="898" ht="15.75" customHeight="1" s="18">
      <c r="E898" s="16" t="n"/>
      <c r="K898" s="17" t="n"/>
    </row>
    <row r="899" ht="15.75" customHeight="1" s="18">
      <c r="E899" s="16" t="n"/>
      <c r="K899" s="17" t="n"/>
    </row>
    <row r="900" ht="15.75" customHeight="1" s="18">
      <c r="E900" s="16" t="n"/>
      <c r="K900" s="17" t="n"/>
    </row>
    <row r="901" ht="15.75" customHeight="1" s="18">
      <c r="E901" s="16" t="n"/>
      <c r="K901" s="17" t="n"/>
    </row>
    <row r="902" ht="15.75" customHeight="1" s="18">
      <c r="E902" s="16" t="n"/>
      <c r="K902" s="17" t="n"/>
    </row>
    <row r="903" ht="15.75" customHeight="1" s="18">
      <c r="E903" s="16" t="n"/>
      <c r="K903" s="17" t="n"/>
    </row>
    <row r="904" ht="15.75" customHeight="1" s="18">
      <c r="E904" s="16" t="n"/>
      <c r="K904" s="17" t="n"/>
    </row>
    <row r="905" ht="15.75" customHeight="1" s="18">
      <c r="E905" s="16" t="n"/>
      <c r="K905" s="17" t="n"/>
    </row>
    <row r="906" ht="15.75" customHeight="1" s="18">
      <c r="E906" s="16" t="n"/>
      <c r="K906" s="17" t="n"/>
    </row>
    <row r="907" ht="15.75" customHeight="1" s="18">
      <c r="E907" s="16" t="n"/>
      <c r="K907" s="17" t="n"/>
    </row>
    <row r="908" ht="15.75" customHeight="1" s="18">
      <c r="E908" s="16" t="n"/>
      <c r="K908" s="17" t="n"/>
    </row>
    <row r="909" ht="15.75" customHeight="1" s="18">
      <c r="E909" s="16" t="n"/>
      <c r="K909" s="17" t="n"/>
    </row>
    <row r="910" ht="15.75" customHeight="1" s="18">
      <c r="E910" s="16" t="n"/>
      <c r="K910" s="17" t="n"/>
    </row>
    <row r="911" ht="15.75" customHeight="1" s="18">
      <c r="E911" s="16" t="n"/>
      <c r="K911" s="17" t="n"/>
    </row>
    <row r="912" ht="15.75" customHeight="1" s="18">
      <c r="E912" s="16" t="n"/>
      <c r="K912" s="17" t="n"/>
    </row>
    <row r="913" ht="15.75" customHeight="1" s="18">
      <c r="E913" s="16" t="n"/>
      <c r="K913" s="17" t="n"/>
    </row>
    <row r="914" ht="15.75" customHeight="1" s="18">
      <c r="E914" s="16" t="n"/>
      <c r="K914" s="17" t="n"/>
    </row>
    <row r="915" ht="15.75" customHeight="1" s="18">
      <c r="E915" s="16" t="n"/>
      <c r="K915" s="17" t="n"/>
    </row>
    <row r="916" ht="15.75" customHeight="1" s="18">
      <c r="E916" s="16" t="n"/>
      <c r="K916" s="17" t="n"/>
    </row>
    <row r="917" ht="15.75" customHeight="1" s="18">
      <c r="E917" s="16" t="n"/>
      <c r="K917" s="17" t="n"/>
    </row>
    <row r="918" ht="15.75" customHeight="1" s="18">
      <c r="E918" s="16" t="n"/>
      <c r="K918" s="17" t="n"/>
    </row>
    <row r="919" ht="15.75" customHeight="1" s="18">
      <c r="E919" s="16" t="n"/>
      <c r="K919" s="17" t="n"/>
    </row>
    <row r="920" ht="15.75" customHeight="1" s="18">
      <c r="E920" s="16" t="n"/>
      <c r="K920" s="17" t="n"/>
    </row>
    <row r="921" ht="15.75" customHeight="1" s="18">
      <c r="E921" s="16" t="n"/>
      <c r="K921" s="17" t="n"/>
    </row>
    <row r="922" ht="15.75" customHeight="1" s="18">
      <c r="E922" s="16" t="n"/>
      <c r="K922" s="17" t="n"/>
    </row>
    <row r="923" ht="15.75" customHeight="1" s="18">
      <c r="E923" s="16" t="n"/>
      <c r="K923" s="17" t="n"/>
    </row>
    <row r="924" ht="15.75" customHeight="1" s="18">
      <c r="E924" s="16" t="n"/>
      <c r="K924" s="17" t="n"/>
    </row>
    <row r="925" ht="15.75" customHeight="1" s="18">
      <c r="E925" s="16" t="n"/>
      <c r="K925" s="17" t="n"/>
    </row>
    <row r="926" ht="15.75" customHeight="1" s="18">
      <c r="E926" s="16" t="n"/>
      <c r="K926" s="17" t="n"/>
    </row>
    <row r="927" ht="15.75" customHeight="1" s="18">
      <c r="E927" s="16" t="n"/>
      <c r="K927" s="17" t="n"/>
    </row>
    <row r="928" ht="15.75" customHeight="1" s="18">
      <c r="E928" s="16" t="n"/>
      <c r="K928" s="17" t="n"/>
    </row>
    <row r="929" ht="15.75" customHeight="1" s="18">
      <c r="E929" s="16" t="n"/>
      <c r="K929" s="17" t="n"/>
    </row>
    <row r="930" ht="15.75" customHeight="1" s="18">
      <c r="E930" s="16" t="n"/>
      <c r="K930" s="17" t="n"/>
    </row>
    <row r="931" ht="15.75" customHeight="1" s="18">
      <c r="E931" s="16" t="n"/>
      <c r="K931" s="17" t="n"/>
    </row>
    <row r="932" ht="15.75" customHeight="1" s="18">
      <c r="E932" s="16" t="n"/>
      <c r="K932" s="17" t="n"/>
    </row>
    <row r="933" ht="15.75" customHeight="1" s="18">
      <c r="E933" s="16" t="n"/>
      <c r="K933" s="17" t="n"/>
    </row>
    <row r="934" ht="15.75" customHeight="1" s="18">
      <c r="E934" s="16" t="n"/>
      <c r="K934" s="17" t="n"/>
    </row>
    <row r="935" ht="15.75" customHeight="1" s="18">
      <c r="E935" s="16" t="n"/>
      <c r="K935" s="17" t="n"/>
    </row>
    <row r="936" ht="15.75" customHeight="1" s="18">
      <c r="E936" s="16" t="n"/>
      <c r="K936" s="17" t="n"/>
    </row>
    <row r="937" ht="15.75" customHeight="1" s="18">
      <c r="E937" s="16" t="n"/>
      <c r="K937" s="17" t="n"/>
    </row>
    <row r="938" ht="15.75" customHeight="1" s="18">
      <c r="E938" s="16" t="n"/>
      <c r="K938" s="17" t="n"/>
    </row>
    <row r="939" ht="15.75" customHeight="1" s="18">
      <c r="E939" s="16" t="n"/>
      <c r="K939" s="17" t="n"/>
    </row>
    <row r="940" ht="15.75" customHeight="1" s="18">
      <c r="E940" s="16" t="n"/>
      <c r="K940" s="17" t="n"/>
    </row>
    <row r="941" ht="15.75" customHeight="1" s="18">
      <c r="E941" s="16" t="n"/>
      <c r="K941" s="17" t="n"/>
    </row>
    <row r="942" ht="15.75" customHeight="1" s="18">
      <c r="E942" s="16" t="n"/>
      <c r="K942" s="17" t="n"/>
    </row>
    <row r="943" ht="15.75" customHeight="1" s="18">
      <c r="E943" s="16" t="n"/>
      <c r="K943" s="17" t="n"/>
    </row>
    <row r="944" ht="15.75" customHeight="1" s="18">
      <c r="E944" s="16" t="n"/>
      <c r="K944" s="17" t="n"/>
    </row>
    <row r="945" ht="15.75" customHeight="1" s="18">
      <c r="E945" s="16" t="n"/>
      <c r="K945" s="17" t="n"/>
    </row>
    <row r="946" ht="15.75" customHeight="1" s="18">
      <c r="E946" s="16" t="n"/>
      <c r="K946" s="17" t="n"/>
    </row>
    <row r="947" ht="15.75" customHeight="1" s="18">
      <c r="E947" s="16" t="n"/>
      <c r="K947" s="17" t="n"/>
    </row>
    <row r="948" ht="15.75" customHeight="1" s="18">
      <c r="E948" s="16" t="n"/>
      <c r="K948" s="17" t="n"/>
    </row>
    <row r="949" ht="15.75" customHeight="1" s="18">
      <c r="E949" s="16" t="n"/>
      <c r="K949" s="17" t="n"/>
    </row>
    <row r="950" ht="15.75" customHeight="1" s="18">
      <c r="E950" s="16" t="n"/>
      <c r="K950" s="17" t="n"/>
    </row>
    <row r="951" ht="15.75" customHeight="1" s="18">
      <c r="E951" s="16" t="n"/>
      <c r="K951" s="17" t="n"/>
    </row>
    <row r="952" ht="15.75" customHeight="1" s="18">
      <c r="E952" s="16" t="n"/>
      <c r="K952" s="17" t="n"/>
    </row>
    <row r="953" ht="15.75" customHeight="1" s="18">
      <c r="E953" s="16" t="n"/>
      <c r="K953" s="17" t="n"/>
    </row>
    <row r="954" ht="15.75" customHeight="1" s="18">
      <c r="E954" s="16" t="n"/>
      <c r="K954" s="17" t="n"/>
    </row>
    <row r="955" ht="15.75" customHeight="1" s="18">
      <c r="E955" s="16" t="n"/>
      <c r="K955" s="17" t="n"/>
    </row>
    <row r="956" ht="15.75" customHeight="1" s="18">
      <c r="E956" s="16" t="n"/>
      <c r="K956" s="17" t="n"/>
    </row>
    <row r="957" ht="15.75" customHeight="1" s="18">
      <c r="E957" s="16" t="n"/>
      <c r="K957" s="17" t="n"/>
    </row>
    <row r="958" ht="15.75" customHeight="1" s="18">
      <c r="E958" s="16" t="n"/>
      <c r="K958" s="17" t="n"/>
    </row>
    <row r="959" ht="15.75" customHeight="1" s="18">
      <c r="E959" s="16" t="n"/>
      <c r="K959" s="17" t="n"/>
    </row>
    <row r="960" ht="15.75" customHeight="1" s="18">
      <c r="E960" s="16" t="n"/>
      <c r="K960" s="17" t="n"/>
    </row>
    <row r="961" ht="15.75" customHeight="1" s="18">
      <c r="E961" s="16" t="n"/>
      <c r="K961" s="17" t="n"/>
    </row>
    <row r="962" ht="15.75" customHeight="1" s="18">
      <c r="E962" s="16" t="n"/>
      <c r="K962" s="17" t="n"/>
    </row>
    <row r="963" ht="15.75" customHeight="1" s="18">
      <c r="E963" s="16" t="n"/>
      <c r="K963" s="17" t="n"/>
    </row>
    <row r="964" ht="15.75" customHeight="1" s="18">
      <c r="E964" s="16" t="n"/>
      <c r="K964" s="17" t="n"/>
    </row>
    <row r="965" ht="15.75" customHeight="1" s="18">
      <c r="E965" s="16" t="n"/>
      <c r="K965" s="17" t="n"/>
    </row>
    <row r="966" ht="15.75" customHeight="1" s="18">
      <c r="E966" s="16" t="n"/>
      <c r="K966" s="17" t="n"/>
    </row>
    <row r="967" ht="15.75" customHeight="1" s="18">
      <c r="E967" s="16" t="n"/>
      <c r="K967" s="17" t="n"/>
    </row>
    <row r="968" ht="15.75" customHeight="1" s="18">
      <c r="E968" s="16" t="n"/>
      <c r="K968" s="17" t="n"/>
    </row>
    <row r="969" ht="15.75" customHeight="1" s="18">
      <c r="E969" s="16" t="n"/>
      <c r="K969" s="17" t="n"/>
    </row>
    <row r="970" ht="15.75" customHeight="1" s="18">
      <c r="E970" s="16" t="n"/>
      <c r="K970" s="17" t="n"/>
    </row>
    <row r="971" ht="15.75" customHeight="1" s="18">
      <c r="E971" s="16" t="n"/>
      <c r="K971" s="17" t="n"/>
    </row>
    <row r="972" ht="15.75" customHeight="1" s="18">
      <c r="E972" s="16" t="n"/>
      <c r="K972" s="17" t="n"/>
    </row>
    <row r="973" ht="15.75" customHeight="1" s="18">
      <c r="E973" s="16" t="n"/>
      <c r="K973" s="17" t="n"/>
    </row>
    <row r="974" ht="15.75" customHeight="1" s="18">
      <c r="E974" s="16" t="n"/>
      <c r="K974" s="17" t="n"/>
    </row>
    <row r="975" ht="15.75" customHeight="1" s="18">
      <c r="E975" s="16" t="n"/>
      <c r="K975" s="17" t="n"/>
    </row>
    <row r="976" ht="15.75" customHeight="1" s="18">
      <c r="E976" s="16" t="n"/>
      <c r="K976" s="17" t="n"/>
    </row>
    <row r="977" ht="15.75" customHeight="1" s="18">
      <c r="E977" s="16" t="n"/>
      <c r="K977" s="17" t="n"/>
    </row>
    <row r="978" ht="15.75" customHeight="1" s="18">
      <c r="E978" s="16" t="n"/>
      <c r="K978" s="17" t="n"/>
    </row>
    <row r="979" ht="15.75" customHeight="1" s="18">
      <c r="E979" s="16" t="n"/>
      <c r="K979" s="17" t="n"/>
    </row>
    <row r="980" ht="15.75" customHeight="1" s="18">
      <c r="E980" s="16" t="n"/>
      <c r="K980" s="17" t="n"/>
    </row>
    <row r="981" ht="15.75" customHeight="1" s="18">
      <c r="E981" s="16" t="n"/>
      <c r="K981" s="17" t="n"/>
    </row>
    <row r="982" ht="15.75" customHeight="1" s="18">
      <c r="E982" s="16" t="n"/>
      <c r="K982" s="17" t="n"/>
    </row>
    <row r="983" ht="15.75" customHeight="1" s="18">
      <c r="E983" s="16" t="n"/>
      <c r="K983" s="17" t="n"/>
    </row>
    <row r="984" ht="15.75" customHeight="1" s="18">
      <c r="E984" s="16" t="n"/>
      <c r="K984" s="17" t="n"/>
    </row>
    <row r="985" ht="15.75" customHeight="1" s="18">
      <c r="E985" s="16" t="n"/>
      <c r="K985" s="17" t="n"/>
    </row>
    <row r="986" ht="15.75" customHeight="1" s="18">
      <c r="E986" s="16" t="n"/>
      <c r="K986" s="17" t="n"/>
    </row>
    <row r="987" ht="15.75" customHeight="1" s="18">
      <c r="E987" s="16" t="n"/>
      <c r="K987" s="17" t="n"/>
    </row>
    <row r="988" ht="15.75" customHeight="1" s="18">
      <c r="E988" s="16" t="n"/>
      <c r="K988" s="17" t="n"/>
    </row>
    <row r="989" ht="15.75" customHeight="1" s="18">
      <c r="E989" s="16" t="n"/>
      <c r="K989" s="17" t="n"/>
    </row>
    <row r="990" ht="15.75" customHeight="1" s="18">
      <c r="E990" s="16" t="n"/>
      <c r="K990" s="17" t="n"/>
    </row>
    <row r="991" ht="15.75" customHeight="1" s="18">
      <c r="E991" s="16" t="n"/>
      <c r="K991" s="17" t="n"/>
    </row>
    <row r="992" ht="15.75" customHeight="1" s="18">
      <c r="E992" s="16" t="n"/>
      <c r="K992" s="17" t="n"/>
    </row>
    <row r="993" ht="15.75" customHeight="1" s="18">
      <c r="E993" s="16" t="n"/>
      <c r="K993" s="17" t="n"/>
    </row>
    <row r="994" ht="15.75" customHeight="1" s="18">
      <c r="E994" s="16" t="n"/>
      <c r="K994" s="17" t="n"/>
    </row>
  </sheetData>
  <autoFilter ref="$A$1:$J$153">
    <sortState ref="A1:J153">
      <sortCondition ref="C1:C153"/>
    </sortState>
  </autoFilter>
  <conditionalFormatting sqref="D2:D153">
    <cfRule type="expression" priority="1" dxfId="0">
      <formula>$D2="Red"</formula>
    </cfRule>
    <cfRule type="expression" priority="2" dxfId="1">
      <formula>$D2="Yellow"</formula>
    </cfRule>
    <cfRule type="expression" priority="3" dxfId="2">
      <formula>$D2="Green"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4" customWidth="1" style="18" min="1" max="1"/>
    <col width="26" customWidth="1" style="18" min="2" max="2"/>
    <col width="14" customWidth="1" style="18" min="3" max="3"/>
    <col width="44" customWidth="1" style="18" min="4" max="4"/>
    <col width="36" customWidth="1" style="18" min="5" max="5"/>
    <col width="16" customWidth="1" style="18" min="6" max="6"/>
    <col width="8.710000000000001" customWidth="1" style="18" min="7" max="26"/>
  </cols>
  <sheetData>
    <row r="1" ht="30" customHeight="1" s="18">
      <c r="A1" s="6" t="inlineStr">
        <is>
          <t>Date</t>
        </is>
      </c>
      <c r="B1" s="6" t="inlineStr">
        <is>
          <t>Member</t>
        </is>
      </c>
      <c r="C1" s="6" t="inlineStr">
        <is>
          <t>Type</t>
        </is>
      </c>
      <c r="D1" s="6" t="inlineStr">
        <is>
          <t>What was said</t>
        </is>
      </c>
      <c r="E1" s="6" t="inlineStr">
        <is>
          <t>Commitment he made</t>
        </is>
      </c>
      <c r="F1" s="6" t="inlineStr">
        <is>
          <t>Follow-up date</t>
        </is>
      </c>
      <c r="G1" s="19" t="inlineStr">
        <is>
          <t>member_id</t>
        </is>
      </c>
      <c r="H1" s="19" t="inlineStr">
        <is>
          <t>channel</t>
        </is>
      </c>
      <c r="I1" s="19" t="inlineStr">
        <is>
          <t>direction</t>
        </is>
      </c>
      <c r="J1" s="19" t="inlineStr">
        <is>
          <t>draft_id</t>
        </is>
      </c>
      <c r="K1" s="19" t="inlineStr">
        <is>
          <t>replied</t>
        </is>
      </c>
      <c r="L1" s="19" t="inlineStr">
        <is>
          <t>reply_date</t>
        </is>
      </c>
    </row>
    <row r="2">
      <c r="A2" s="5" t="n"/>
      <c r="C2" s="8" t="n"/>
      <c r="F2" s="5" t="n"/>
    </row>
    <row r="3">
      <c r="A3" s="5" t="n"/>
      <c r="C3" s="8" t="n"/>
      <c r="F3" s="5" t="n"/>
    </row>
    <row r="4">
      <c r="A4" s="5" t="n"/>
      <c r="C4" s="8" t="n"/>
      <c r="F4" s="5" t="n"/>
    </row>
    <row r="5">
      <c r="A5" s="5" t="n"/>
      <c r="C5" s="8" t="n"/>
      <c r="F5" s="5" t="n"/>
    </row>
    <row r="6">
      <c r="A6" s="5" t="n"/>
      <c r="C6" s="8" t="n"/>
      <c r="F6" s="5" t="n"/>
    </row>
    <row r="7">
      <c r="A7" s="5" t="n"/>
      <c r="C7" s="8" t="n"/>
      <c r="F7" s="5" t="n"/>
    </row>
    <row r="8">
      <c r="A8" s="5" t="n"/>
      <c r="C8" s="8" t="n"/>
      <c r="F8" s="5" t="n"/>
    </row>
    <row r="9">
      <c r="A9" s="5" t="n"/>
      <c r="C9" s="8" t="n"/>
      <c r="F9" s="5" t="n"/>
    </row>
    <row r="10">
      <c r="A10" s="5" t="n"/>
      <c r="C10" s="8" t="n"/>
      <c r="F10" s="5" t="n"/>
    </row>
    <row r="11">
      <c r="A11" s="5" t="n"/>
      <c r="C11" s="8" t="n"/>
      <c r="F11" s="5" t="n"/>
    </row>
    <row r="12">
      <c r="A12" s="5" t="n"/>
      <c r="C12" s="8" t="n"/>
      <c r="F12" s="5" t="n"/>
    </row>
    <row r="13">
      <c r="A13" s="5" t="n"/>
      <c r="C13" s="8" t="n"/>
      <c r="F13" s="5" t="n"/>
    </row>
    <row r="14">
      <c r="A14" s="5" t="n"/>
      <c r="C14" s="8" t="n"/>
      <c r="F14" s="5" t="n"/>
    </row>
    <row r="15">
      <c r="A15" s="5" t="n"/>
      <c r="C15" s="8" t="n"/>
      <c r="F15" s="5" t="n"/>
    </row>
    <row r="16">
      <c r="A16" s="5" t="n"/>
      <c r="C16" s="8" t="n"/>
      <c r="F16" s="5" t="n"/>
    </row>
    <row r="17">
      <c r="A17" s="5" t="n"/>
      <c r="C17" s="8" t="n"/>
      <c r="F17" s="5" t="n"/>
    </row>
    <row r="18">
      <c r="A18" s="5" t="n"/>
      <c r="C18" s="8" t="n"/>
      <c r="F18" s="5" t="n"/>
    </row>
    <row r="19">
      <c r="A19" s="5" t="n"/>
      <c r="C19" s="8" t="n"/>
      <c r="F19" s="5" t="n"/>
    </row>
    <row r="20">
      <c r="A20" s="5" t="n"/>
      <c r="C20" s="8" t="n"/>
      <c r="F20" s="5" t="n"/>
    </row>
    <row r="21" ht="15.75" customHeight="1" s="18">
      <c r="A21" s="5" t="n"/>
      <c r="C21" s="8" t="n"/>
      <c r="F21" s="5" t="n"/>
    </row>
    <row r="22" ht="15.75" customHeight="1" s="18">
      <c r="A22" s="5" t="n"/>
      <c r="C22" s="8" t="n"/>
      <c r="F22" s="5" t="n"/>
    </row>
    <row r="23" ht="15.75" customHeight="1" s="18">
      <c r="A23" s="5" t="n"/>
      <c r="C23" s="8" t="n"/>
      <c r="F23" s="5" t="n"/>
    </row>
    <row r="24" ht="15.75" customHeight="1" s="18">
      <c r="A24" s="5" t="n"/>
      <c r="C24" s="8" t="n"/>
      <c r="F24" s="5" t="n"/>
    </row>
    <row r="25" ht="15.75" customHeight="1" s="18">
      <c r="A25" s="5" t="n"/>
      <c r="C25" s="8" t="n"/>
      <c r="F25" s="5" t="n"/>
    </row>
    <row r="26" ht="15.75" customHeight="1" s="18">
      <c r="A26" s="5" t="n"/>
      <c r="C26" s="8" t="n"/>
      <c r="F26" s="5" t="n"/>
    </row>
    <row r="27" ht="15.75" customHeight="1" s="18">
      <c r="A27" s="5" t="n"/>
      <c r="C27" s="8" t="n"/>
      <c r="F27" s="5" t="n"/>
    </row>
    <row r="28" ht="15.75" customHeight="1" s="18">
      <c r="A28" s="5" t="n"/>
      <c r="C28" s="8" t="n"/>
      <c r="F28" s="5" t="n"/>
    </row>
    <row r="29" ht="15.75" customHeight="1" s="18">
      <c r="A29" s="5" t="n"/>
      <c r="C29" s="8" t="n"/>
      <c r="F29" s="5" t="n"/>
    </row>
    <row r="30" ht="15.75" customHeight="1" s="18">
      <c r="A30" s="5" t="n"/>
      <c r="C30" s="8" t="n"/>
      <c r="F30" s="5" t="n"/>
    </row>
    <row r="31" ht="15.75" customHeight="1" s="18">
      <c r="A31" s="5" t="n"/>
      <c r="C31" s="8" t="n"/>
      <c r="F31" s="5" t="n"/>
    </row>
    <row r="32" ht="15.75" customHeight="1" s="18">
      <c r="A32" s="5" t="n"/>
      <c r="C32" s="8" t="n"/>
      <c r="F32" s="5" t="n"/>
    </row>
    <row r="33" ht="15.75" customHeight="1" s="18">
      <c r="A33" s="5" t="n"/>
      <c r="C33" s="8" t="n"/>
      <c r="F33" s="5" t="n"/>
    </row>
    <row r="34" ht="15.75" customHeight="1" s="18">
      <c r="A34" s="5" t="n"/>
      <c r="C34" s="8" t="n"/>
      <c r="F34" s="5" t="n"/>
    </row>
    <row r="35" ht="15.75" customHeight="1" s="18">
      <c r="A35" s="5" t="n"/>
      <c r="C35" s="8" t="n"/>
      <c r="F35" s="5" t="n"/>
    </row>
    <row r="36" ht="15.75" customHeight="1" s="18">
      <c r="A36" s="5" t="n"/>
      <c r="C36" s="8" t="n"/>
      <c r="F36" s="5" t="n"/>
    </row>
    <row r="37" ht="15.75" customHeight="1" s="18">
      <c r="A37" s="5" t="n"/>
      <c r="C37" s="8" t="n"/>
      <c r="F37" s="5" t="n"/>
    </row>
    <row r="38" ht="15.75" customHeight="1" s="18">
      <c r="A38" s="5" t="n"/>
      <c r="C38" s="8" t="n"/>
      <c r="F38" s="5" t="n"/>
    </row>
    <row r="39" ht="15.75" customHeight="1" s="18">
      <c r="A39" s="5" t="n"/>
      <c r="C39" s="8" t="n"/>
      <c r="F39" s="5" t="n"/>
    </row>
    <row r="40" ht="15.75" customHeight="1" s="18">
      <c r="A40" s="5" t="n"/>
      <c r="C40" s="8" t="n"/>
      <c r="F40" s="5" t="n"/>
    </row>
    <row r="41" ht="15.75" customHeight="1" s="18">
      <c r="A41" s="5" t="n"/>
      <c r="C41" s="8" t="n"/>
      <c r="F41" s="5" t="n"/>
    </row>
    <row r="42" ht="15.75" customHeight="1" s="18">
      <c r="A42" s="5" t="n"/>
      <c r="C42" s="8" t="n"/>
      <c r="F42" s="5" t="n"/>
    </row>
    <row r="43" ht="15.75" customHeight="1" s="18">
      <c r="A43" s="5" t="n"/>
      <c r="C43" s="8" t="n"/>
      <c r="F43" s="5" t="n"/>
    </row>
    <row r="44" ht="15.75" customHeight="1" s="18">
      <c r="A44" s="5" t="n"/>
      <c r="C44" s="8" t="n"/>
      <c r="F44" s="5" t="n"/>
    </row>
    <row r="45" ht="15.75" customHeight="1" s="18">
      <c r="A45" s="5" t="n"/>
      <c r="C45" s="8" t="n"/>
      <c r="F45" s="5" t="n"/>
    </row>
    <row r="46" ht="15.75" customHeight="1" s="18">
      <c r="A46" s="5" t="n"/>
      <c r="C46" s="8" t="n"/>
      <c r="F46" s="5" t="n"/>
    </row>
    <row r="47" ht="15.75" customHeight="1" s="18">
      <c r="A47" s="5" t="n"/>
      <c r="C47" s="8" t="n"/>
      <c r="F47" s="5" t="n"/>
    </row>
    <row r="48" ht="15.75" customHeight="1" s="18">
      <c r="A48" s="5" t="n"/>
      <c r="C48" s="8" t="n"/>
      <c r="F48" s="5" t="n"/>
    </row>
    <row r="49" ht="15.75" customHeight="1" s="18">
      <c r="A49" s="5" t="n"/>
      <c r="C49" s="8" t="n"/>
      <c r="F49" s="5" t="n"/>
    </row>
    <row r="50" ht="15.75" customHeight="1" s="18">
      <c r="A50" s="5" t="n"/>
      <c r="C50" s="8" t="n"/>
      <c r="F50" s="5" t="n"/>
    </row>
    <row r="51" ht="15.75" customHeight="1" s="18">
      <c r="A51" s="5" t="n"/>
      <c r="C51" s="8" t="n"/>
      <c r="F51" s="5" t="n"/>
    </row>
    <row r="52" ht="15.75" customHeight="1" s="18">
      <c r="A52" s="5" t="n"/>
      <c r="C52" s="8" t="n"/>
      <c r="F52" s="5" t="n"/>
    </row>
    <row r="53" ht="15.75" customHeight="1" s="18">
      <c r="A53" s="5" t="n"/>
      <c r="C53" s="8" t="n"/>
      <c r="F53" s="5" t="n"/>
    </row>
    <row r="54" ht="15.75" customHeight="1" s="18">
      <c r="A54" s="5" t="n"/>
      <c r="C54" s="8" t="n"/>
      <c r="F54" s="5" t="n"/>
    </row>
    <row r="55" ht="15.75" customHeight="1" s="18">
      <c r="A55" s="5" t="n"/>
      <c r="C55" s="8" t="n"/>
      <c r="F55" s="5" t="n"/>
    </row>
    <row r="56" ht="15.75" customHeight="1" s="18">
      <c r="A56" s="5" t="n"/>
      <c r="C56" s="8" t="n"/>
      <c r="F56" s="5" t="n"/>
    </row>
    <row r="57" ht="15.75" customHeight="1" s="18">
      <c r="A57" s="5" t="n"/>
      <c r="C57" s="8" t="n"/>
      <c r="F57" s="5" t="n"/>
    </row>
    <row r="58" ht="15.75" customHeight="1" s="18">
      <c r="A58" s="5" t="n"/>
      <c r="C58" s="8" t="n"/>
      <c r="F58" s="5" t="n"/>
    </row>
    <row r="59" ht="15.75" customHeight="1" s="18">
      <c r="A59" s="5" t="n"/>
      <c r="C59" s="8" t="n"/>
      <c r="F59" s="5" t="n"/>
    </row>
    <row r="60" ht="15.75" customHeight="1" s="18">
      <c r="A60" s="5" t="n"/>
      <c r="C60" s="8" t="n"/>
      <c r="F60" s="5" t="n"/>
    </row>
    <row r="61" ht="15.75" customHeight="1" s="18">
      <c r="A61" s="5" t="n"/>
      <c r="C61" s="8" t="n"/>
      <c r="F61" s="5" t="n"/>
    </row>
    <row r="62" ht="15.75" customHeight="1" s="18">
      <c r="A62" s="5" t="n"/>
      <c r="C62" s="8" t="n"/>
      <c r="F62" s="5" t="n"/>
    </row>
    <row r="63" ht="15.75" customHeight="1" s="18">
      <c r="A63" s="5" t="n"/>
      <c r="C63" s="8" t="n"/>
      <c r="F63" s="5" t="n"/>
    </row>
    <row r="64" ht="15.75" customHeight="1" s="18">
      <c r="A64" s="5" t="n"/>
      <c r="C64" s="8" t="n"/>
      <c r="F64" s="5" t="n"/>
    </row>
    <row r="65" ht="15.75" customHeight="1" s="18">
      <c r="A65" s="5" t="n"/>
      <c r="C65" s="8" t="n"/>
      <c r="F65" s="5" t="n"/>
    </row>
    <row r="66" ht="15.75" customHeight="1" s="18">
      <c r="A66" s="5" t="n"/>
      <c r="C66" s="8" t="n"/>
      <c r="F66" s="5" t="n"/>
    </row>
    <row r="67" ht="15.75" customHeight="1" s="18">
      <c r="A67" s="5" t="n"/>
      <c r="C67" s="8" t="n"/>
      <c r="F67" s="5" t="n"/>
    </row>
    <row r="68" ht="15.75" customHeight="1" s="18">
      <c r="A68" s="5" t="n"/>
      <c r="C68" s="8" t="n"/>
      <c r="F68" s="5" t="n"/>
    </row>
    <row r="69" ht="15.75" customHeight="1" s="18">
      <c r="A69" s="5" t="n"/>
      <c r="C69" s="8" t="n"/>
      <c r="F69" s="5" t="n"/>
    </row>
    <row r="70" ht="15.75" customHeight="1" s="18">
      <c r="A70" s="5" t="n"/>
      <c r="C70" s="8" t="n"/>
      <c r="F70" s="5" t="n"/>
    </row>
    <row r="71" ht="15.75" customHeight="1" s="18">
      <c r="A71" s="5" t="n"/>
      <c r="C71" s="8" t="n"/>
      <c r="F71" s="5" t="n"/>
    </row>
    <row r="72" ht="15.75" customHeight="1" s="18">
      <c r="A72" s="5" t="n"/>
      <c r="C72" s="8" t="n"/>
      <c r="F72" s="5" t="n"/>
    </row>
    <row r="73" ht="15.75" customHeight="1" s="18">
      <c r="A73" s="5" t="n"/>
      <c r="C73" s="8" t="n"/>
      <c r="F73" s="5" t="n"/>
    </row>
    <row r="74" ht="15.75" customHeight="1" s="18">
      <c r="A74" s="5" t="n"/>
      <c r="C74" s="8" t="n"/>
      <c r="F74" s="5" t="n"/>
    </row>
    <row r="75" ht="15.75" customHeight="1" s="18">
      <c r="A75" s="5" t="n"/>
      <c r="C75" s="8" t="n"/>
      <c r="F75" s="5" t="n"/>
    </row>
    <row r="76" ht="15.75" customHeight="1" s="18">
      <c r="A76" s="5" t="n"/>
      <c r="C76" s="8" t="n"/>
      <c r="F76" s="5" t="n"/>
    </row>
    <row r="77" ht="15.75" customHeight="1" s="18">
      <c r="A77" s="5" t="n"/>
      <c r="C77" s="8" t="n"/>
      <c r="F77" s="5" t="n"/>
    </row>
    <row r="78" ht="15.75" customHeight="1" s="18">
      <c r="A78" s="5" t="n"/>
      <c r="C78" s="8" t="n"/>
      <c r="F78" s="5" t="n"/>
    </row>
    <row r="79" ht="15.75" customHeight="1" s="18">
      <c r="A79" s="5" t="n"/>
      <c r="C79" s="8" t="n"/>
      <c r="F79" s="5" t="n"/>
    </row>
    <row r="80" ht="15.75" customHeight="1" s="18">
      <c r="A80" s="5" t="n"/>
      <c r="C80" s="8" t="n"/>
      <c r="F80" s="5" t="n"/>
    </row>
    <row r="81" ht="15.75" customHeight="1" s="18">
      <c r="A81" s="5" t="n"/>
      <c r="C81" s="8" t="n"/>
      <c r="F81" s="5" t="n"/>
    </row>
    <row r="82" ht="15.75" customHeight="1" s="18">
      <c r="A82" s="5" t="n"/>
      <c r="C82" s="8" t="n"/>
      <c r="F82" s="5" t="n"/>
    </row>
    <row r="83" ht="15.75" customHeight="1" s="18">
      <c r="A83" s="5" t="n"/>
      <c r="C83" s="8" t="n"/>
      <c r="F83" s="5" t="n"/>
    </row>
    <row r="84" ht="15.75" customHeight="1" s="18">
      <c r="A84" s="5" t="n"/>
      <c r="C84" s="8" t="n"/>
      <c r="F84" s="5" t="n"/>
    </row>
    <row r="85" ht="15.75" customHeight="1" s="18">
      <c r="A85" s="5" t="n"/>
      <c r="C85" s="8" t="n"/>
      <c r="F85" s="5" t="n"/>
    </row>
    <row r="86" ht="15.75" customHeight="1" s="18">
      <c r="A86" s="5" t="n"/>
      <c r="C86" s="8" t="n"/>
      <c r="F86" s="5" t="n"/>
    </row>
    <row r="87" ht="15.75" customHeight="1" s="18">
      <c r="A87" s="5" t="n"/>
      <c r="C87" s="8" t="n"/>
      <c r="F87" s="5" t="n"/>
    </row>
    <row r="88" ht="15.75" customHeight="1" s="18">
      <c r="A88" s="5" t="n"/>
      <c r="C88" s="8" t="n"/>
      <c r="F88" s="5" t="n"/>
    </row>
    <row r="89" ht="15.75" customHeight="1" s="18">
      <c r="A89" s="5" t="n"/>
      <c r="C89" s="8" t="n"/>
      <c r="F89" s="5" t="n"/>
    </row>
    <row r="90" ht="15.75" customHeight="1" s="18">
      <c r="A90" s="5" t="n"/>
      <c r="C90" s="8" t="n"/>
      <c r="F90" s="5" t="n"/>
    </row>
    <row r="91" ht="15.75" customHeight="1" s="18">
      <c r="A91" s="5" t="n"/>
      <c r="C91" s="8" t="n"/>
      <c r="F91" s="5" t="n"/>
    </row>
    <row r="92" ht="15.75" customHeight="1" s="18">
      <c r="A92" s="5" t="n"/>
      <c r="C92" s="8" t="n"/>
      <c r="F92" s="5" t="n"/>
    </row>
    <row r="93" ht="15.75" customHeight="1" s="18">
      <c r="A93" s="5" t="n"/>
      <c r="C93" s="8" t="n"/>
      <c r="F93" s="5" t="n"/>
    </row>
    <row r="94" ht="15.75" customHeight="1" s="18">
      <c r="A94" s="5" t="n"/>
      <c r="C94" s="8" t="n"/>
      <c r="F94" s="5" t="n"/>
    </row>
    <row r="95" ht="15.75" customHeight="1" s="18">
      <c r="A95" s="5" t="n"/>
      <c r="C95" s="8" t="n"/>
      <c r="F95" s="5" t="n"/>
    </row>
    <row r="96" ht="15.75" customHeight="1" s="18">
      <c r="A96" s="5" t="n"/>
      <c r="C96" s="8" t="n"/>
      <c r="F96" s="5" t="n"/>
    </row>
    <row r="97" ht="15.75" customHeight="1" s="18">
      <c r="A97" s="5" t="n"/>
      <c r="C97" s="8" t="n"/>
      <c r="F97" s="5" t="n"/>
    </row>
    <row r="98" ht="15.75" customHeight="1" s="18">
      <c r="A98" s="5" t="n"/>
      <c r="C98" s="8" t="n"/>
      <c r="F98" s="5" t="n"/>
    </row>
    <row r="99" ht="15.75" customHeight="1" s="18">
      <c r="A99" s="5" t="n"/>
      <c r="C99" s="8" t="n"/>
      <c r="F99" s="5" t="n"/>
    </row>
    <row r="100" ht="15.75" customHeight="1" s="18">
      <c r="A100" s="5" t="n"/>
      <c r="C100" s="8" t="n"/>
      <c r="F100" s="5" t="n"/>
    </row>
    <row r="101" ht="15.75" customHeight="1" s="18">
      <c r="A101" s="5" t="n"/>
      <c r="C101" s="8" t="n"/>
      <c r="F101" s="5" t="n"/>
    </row>
    <row r="102" ht="15.75" customHeight="1" s="18">
      <c r="A102" s="5" t="n"/>
      <c r="C102" s="8" t="n"/>
      <c r="F102" s="5" t="n"/>
    </row>
    <row r="103" ht="15.75" customHeight="1" s="18">
      <c r="A103" s="5" t="n"/>
      <c r="C103" s="8" t="n"/>
      <c r="F103" s="5" t="n"/>
    </row>
    <row r="104" ht="15.75" customHeight="1" s="18">
      <c r="A104" s="5" t="n"/>
      <c r="C104" s="8" t="n"/>
      <c r="F104" s="5" t="n"/>
    </row>
    <row r="105" ht="15.75" customHeight="1" s="18">
      <c r="A105" s="5" t="n"/>
      <c r="C105" s="8" t="n"/>
      <c r="F105" s="5" t="n"/>
    </row>
    <row r="106" ht="15.75" customHeight="1" s="18">
      <c r="A106" s="5" t="n"/>
      <c r="C106" s="8" t="n"/>
      <c r="F106" s="5" t="n"/>
    </row>
    <row r="107" ht="15.75" customHeight="1" s="18">
      <c r="A107" s="5" t="n"/>
      <c r="C107" s="8" t="n"/>
      <c r="F107" s="5" t="n"/>
    </row>
    <row r="108" ht="15.75" customHeight="1" s="18">
      <c r="A108" s="5" t="n"/>
      <c r="C108" s="8" t="n"/>
      <c r="F108" s="5" t="n"/>
    </row>
    <row r="109" ht="15.75" customHeight="1" s="18">
      <c r="A109" s="5" t="n"/>
      <c r="C109" s="8" t="n"/>
      <c r="F109" s="5" t="n"/>
    </row>
    <row r="110" ht="15.75" customHeight="1" s="18">
      <c r="A110" s="5" t="n"/>
      <c r="C110" s="8" t="n"/>
      <c r="F110" s="5" t="n"/>
    </row>
    <row r="111" ht="15.75" customHeight="1" s="18">
      <c r="A111" s="5" t="n"/>
      <c r="C111" s="8" t="n"/>
      <c r="F111" s="5" t="n"/>
    </row>
    <row r="112" ht="15.75" customHeight="1" s="18">
      <c r="A112" s="5" t="n"/>
      <c r="C112" s="8" t="n"/>
      <c r="F112" s="5" t="n"/>
    </row>
    <row r="113" ht="15.75" customHeight="1" s="18">
      <c r="A113" s="5" t="n"/>
      <c r="C113" s="8" t="n"/>
      <c r="F113" s="5" t="n"/>
    </row>
    <row r="114" ht="15.75" customHeight="1" s="18">
      <c r="A114" s="5" t="n"/>
      <c r="C114" s="8" t="n"/>
      <c r="F114" s="5" t="n"/>
    </row>
    <row r="115" ht="15.75" customHeight="1" s="18">
      <c r="A115" s="5" t="n"/>
      <c r="C115" s="8" t="n"/>
      <c r="F115" s="5" t="n"/>
    </row>
    <row r="116" ht="15.75" customHeight="1" s="18">
      <c r="A116" s="5" t="n"/>
      <c r="C116" s="8" t="n"/>
      <c r="F116" s="5" t="n"/>
    </row>
    <row r="117" ht="15.75" customHeight="1" s="18">
      <c r="A117" s="5" t="n"/>
      <c r="C117" s="8" t="n"/>
      <c r="F117" s="5" t="n"/>
    </row>
    <row r="118" ht="15.75" customHeight="1" s="18">
      <c r="A118" s="5" t="n"/>
      <c r="C118" s="8" t="n"/>
      <c r="F118" s="5" t="n"/>
    </row>
    <row r="119" ht="15.75" customHeight="1" s="18">
      <c r="A119" s="5" t="n"/>
      <c r="C119" s="8" t="n"/>
      <c r="F119" s="5" t="n"/>
    </row>
    <row r="120" ht="15.75" customHeight="1" s="18">
      <c r="A120" s="5" t="n"/>
      <c r="C120" s="8" t="n"/>
      <c r="F120" s="5" t="n"/>
    </row>
    <row r="121" ht="15.75" customHeight="1" s="18">
      <c r="A121" s="5" t="n"/>
      <c r="C121" s="8" t="n"/>
      <c r="F121" s="5" t="n"/>
    </row>
    <row r="122" ht="15.75" customHeight="1" s="18">
      <c r="A122" s="5" t="n"/>
      <c r="C122" s="8" t="n"/>
      <c r="F122" s="5" t="n"/>
    </row>
    <row r="123" ht="15.75" customHeight="1" s="18">
      <c r="A123" s="5" t="n"/>
      <c r="C123" s="8" t="n"/>
      <c r="F123" s="5" t="n"/>
    </row>
    <row r="124" ht="15.75" customHeight="1" s="18">
      <c r="A124" s="5" t="n"/>
      <c r="C124" s="8" t="n"/>
      <c r="F124" s="5" t="n"/>
    </row>
    <row r="125" ht="15.75" customHeight="1" s="18">
      <c r="A125" s="5" t="n"/>
      <c r="C125" s="8" t="n"/>
      <c r="F125" s="5" t="n"/>
    </row>
    <row r="126" ht="15.75" customHeight="1" s="18">
      <c r="A126" s="5" t="n"/>
      <c r="C126" s="8" t="n"/>
      <c r="F126" s="5" t="n"/>
    </row>
    <row r="127" ht="15.75" customHeight="1" s="18">
      <c r="A127" s="5" t="n"/>
      <c r="C127" s="8" t="n"/>
      <c r="F127" s="5" t="n"/>
    </row>
    <row r="128" ht="15.75" customHeight="1" s="18">
      <c r="A128" s="5" t="n"/>
      <c r="C128" s="8" t="n"/>
      <c r="F128" s="5" t="n"/>
    </row>
    <row r="129" ht="15.75" customHeight="1" s="18">
      <c r="A129" s="5" t="n"/>
      <c r="C129" s="8" t="n"/>
      <c r="F129" s="5" t="n"/>
    </row>
    <row r="130" ht="15.75" customHeight="1" s="18">
      <c r="A130" s="5" t="n"/>
      <c r="C130" s="8" t="n"/>
      <c r="F130" s="5" t="n"/>
    </row>
    <row r="131" ht="15.75" customHeight="1" s="18">
      <c r="A131" s="5" t="n"/>
      <c r="C131" s="8" t="n"/>
      <c r="F131" s="5" t="n"/>
    </row>
    <row r="132" ht="15.75" customHeight="1" s="18">
      <c r="A132" s="5" t="n"/>
      <c r="C132" s="8" t="n"/>
      <c r="F132" s="5" t="n"/>
    </row>
    <row r="133" ht="15.75" customHeight="1" s="18">
      <c r="A133" s="5" t="n"/>
      <c r="C133" s="8" t="n"/>
      <c r="F133" s="5" t="n"/>
    </row>
    <row r="134" ht="15.75" customHeight="1" s="18">
      <c r="A134" s="5" t="n"/>
      <c r="C134" s="8" t="n"/>
      <c r="F134" s="5" t="n"/>
    </row>
    <row r="135" ht="15.75" customHeight="1" s="18">
      <c r="A135" s="5" t="n"/>
      <c r="C135" s="8" t="n"/>
      <c r="F135" s="5" t="n"/>
    </row>
    <row r="136" ht="15.75" customHeight="1" s="18">
      <c r="A136" s="5" t="n"/>
      <c r="C136" s="8" t="n"/>
      <c r="F136" s="5" t="n"/>
    </row>
    <row r="137" ht="15.75" customHeight="1" s="18">
      <c r="A137" s="5" t="n"/>
      <c r="C137" s="8" t="n"/>
      <c r="F137" s="5" t="n"/>
    </row>
    <row r="138" ht="15.75" customHeight="1" s="18">
      <c r="A138" s="5" t="n"/>
      <c r="C138" s="8" t="n"/>
      <c r="F138" s="5" t="n"/>
    </row>
    <row r="139" ht="15.75" customHeight="1" s="18">
      <c r="A139" s="5" t="n"/>
      <c r="C139" s="8" t="n"/>
      <c r="F139" s="5" t="n"/>
    </row>
    <row r="140" ht="15.75" customHeight="1" s="18">
      <c r="A140" s="5" t="n"/>
      <c r="C140" s="8" t="n"/>
      <c r="F140" s="5" t="n"/>
    </row>
    <row r="141" ht="15.75" customHeight="1" s="18">
      <c r="A141" s="5" t="n"/>
      <c r="C141" s="8" t="n"/>
      <c r="F141" s="5" t="n"/>
    </row>
    <row r="142" ht="15.75" customHeight="1" s="18">
      <c r="A142" s="5" t="n"/>
      <c r="C142" s="8" t="n"/>
      <c r="F142" s="5" t="n"/>
    </row>
    <row r="143" ht="15.75" customHeight="1" s="18">
      <c r="A143" s="5" t="n"/>
      <c r="C143" s="8" t="n"/>
      <c r="F143" s="5" t="n"/>
    </row>
    <row r="144" ht="15.75" customHeight="1" s="18">
      <c r="A144" s="5" t="n"/>
      <c r="C144" s="8" t="n"/>
      <c r="F144" s="5" t="n"/>
    </row>
    <row r="145" ht="15.75" customHeight="1" s="18">
      <c r="A145" s="5" t="n"/>
      <c r="C145" s="8" t="n"/>
      <c r="F145" s="5" t="n"/>
    </row>
    <row r="146" ht="15.75" customHeight="1" s="18">
      <c r="A146" s="5" t="n"/>
      <c r="C146" s="8" t="n"/>
      <c r="F146" s="5" t="n"/>
    </row>
    <row r="147" ht="15.75" customHeight="1" s="18">
      <c r="A147" s="5" t="n"/>
      <c r="C147" s="8" t="n"/>
      <c r="F147" s="5" t="n"/>
    </row>
    <row r="148" ht="15.75" customHeight="1" s="18">
      <c r="A148" s="5" t="n"/>
      <c r="C148" s="8" t="n"/>
      <c r="F148" s="5" t="n"/>
    </row>
    <row r="149" ht="15.75" customHeight="1" s="18">
      <c r="A149" s="5" t="n"/>
      <c r="C149" s="8" t="n"/>
      <c r="F149" s="5" t="n"/>
    </row>
    <row r="150" ht="15.75" customHeight="1" s="18">
      <c r="A150" s="5" t="n"/>
      <c r="C150" s="8" t="n"/>
      <c r="F150" s="5" t="n"/>
    </row>
    <row r="151" ht="15.75" customHeight="1" s="18">
      <c r="A151" s="5" t="n"/>
      <c r="C151" s="8" t="n"/>
      <c r="F151" s="5" t="n"/>
    </row>
    <row r="152" ht="15.75" customHeight="1" s="18">
      <c r="A152" s="5" t="n"/>
      <c r="C152" s="8" t="n"/>
      <c r="F152" s="5" t="n"/>
    </row>
    <row r="153" ht="15.75" customHeight="1" s="18">
      <c r="A153" s="5" t="n"/>
      <c r="C153" s="8" t="n"/>
      <c r="F153" s="5" t="n"/>
    </row>
    <row r="154" ht="15.75" customHeight="1" s="18">
      <c r="A154" s="5" t="n"/>
      <c r="C154" s="8" t="n"/>
      <c r="F154" s="5" t="n"/>
    </row>
    <row r="155" ht="15.75" customHeight="1" s="18">
      <c r="A155" s="5" t="n"/>
      <c r="C155" s="8" t="n"/>
      <c r="F155" s="5" t="n"/>
    </row>
    <row r="156" ht="15.75" customHeight="1" s="18">
      <c r="A156" s="5" t="n"/>
      <c r="C156" s="8" t="n"/>
      <c r="F156" s="5" t="n"/>
    </row>
    <row r="157" ht="15.75" customHeight="1" s="18">
      <c r="A157" s="5" t="n"/>
      <c r="C157" s="8" t="n"/>
      <c r="F157" s="5" t="n"/>
    </row>
    <row r="158" ht="15.75" customHeight="1" s="18">
      <c r="A158" s="5" t="n"/>
      <c r="C158" s="8" t="n"/>
      <c r="F158" s="5" t="n"/>
    </row>
    <row r="159" ht="15.75" customHeight="1" s="18">
      <c r="A159" s="5" t="n"/>
      <c r="C159" s="8" t="n"/>
      <c r="F159" s="5" t="n"/>
    </row>
    <row r="160" ht="15.75" customHeight="1" s="18">
      <c r="A160" s="5" t="n"/>
      <c r="C160" s="8" t="n"/>
      <c r="F160" s="5" t="n"/>
    </row>
    <row r="161" ht="15.75" customHeight="1" s="18">
      <c r="A161" s="5" t="n"/>
      <c r="C161" s="8" t="n"/>
      <c r="F161" s="5" t="n"/>
    </row>
    <row r="162" ht="15.75" customHeight="1" s="18">
      <c r="A162" s="5" t="n"/>
      <c r="C162" s="8" t="n"/>
      <c r="F162" s="5" t="n"/>
    </row>
    <row r="163" ht="15.75" customHeight="1" s="18">
      <c r="A163" s="5" t="n"/>
      <c r="C163" s="8" t="n"/>
      <c r="F163" s="5" t="n"/>
    </row>
    <row r="164" ht="15.75" customHeight="1" s="18">
      <c r="A164" s="5" t="n"/>
      <c r="C164" s="8" t="n"/>
      <c r="F164" s="5" t="n"/>
    </row>
    <row r="165" ht="15.75" customHeight="1" s="18">
      <c r="A165" s="5" t="n"/>
      <c r="C165" s="8" t="n"/>
      <c r="F165" s="5" t="n"/>
    </row>
    <row r="166" ht="15.75" customHeight="1" s="18">
      <c r="A166" s="5" t="n"/>
      <c r="C166" s="8" t="n"/>
      <c r="F166" s="5" t="n"/>
    </row>
    <row r="167" ht="15.75" customHeight="1" s="18">
      <c r="A167" s="5" t="n"/>
      <c r="C167" s="8" t="n"/>
      <c r="F167" s="5" t="n"/>
    </row>
    <row r="168" ht="15.75" customHeight="1" s="18">
      <c r="A168" s="5" t="n"/>
      <c r="C168" s="8" t="n"/>
      <c r="F168" s="5" t="n"/>
    </row>
    <row r="169" ht="15.75" customHeight="1" s="18">
      <c r="A169" s="5" t="n"/>
      <c r="C169" s="8" t="n"/>
      <c r="F169" s="5" t="n"/>
    </row>
    <row r="170" ht="15.75" customHeight="1" s="18">
      <c r="A170" s="5" t="n"/>
      <c r="C170" s="8" t="n"/>
      <c r="F170" s="5" t="n"/>
    </row>
    <row r="171" ht="15.75" customHeight="1" s="18">
      <c r="A171" s="5" t="n"/>
      <c r="C171" s="8" t="n"/>
      <c r="F171" s="5" t="n"/>
    </row>
    <row r="172" ht="15.75" customHeight="1" s="18">
      <c r="A172" s="5" t="n"/>
      <c r="C172" s="8" t="n"/>
      <c r="F172" s="5" t="n"/>
    </row>
    <row r="173" ht="15.75" customHeight="1" s="18">
      <c r="A173" s="5" t="n"/>
      <c r="C173" s="8" t="n"/>
      <c r="F173" s="5" t="n"/>
    </row>
    <row r="174" ht="15.75" customHeight="1" s="18">
      <c r="A174" s="5" t="n"/>
      <c r="C174" s="8" t="n"/>
      <c r="F174" s="5" t="n"/>
    </row>
    <row r="175" ht="15.75" customHeight="1" s="18">
      <c r="A175" s="5" t="n"/>
      <c r="C175" s="8" t="n"/>
      <c r="F175" s="5" t="n"/>
    </row>
    <row r="176" ht="15.75" customHeight="1" s="18">
      <c r="A176" s="5" t="n"/>
      <c r="C176" s="8" t="n"/>
      <c r="F176" s="5" t="n"/>
    </row>
    <row r="177" ht="15.75" customHeight="1" s="18">
      <c r="A177" s="5" t="n"/>
      <c r="C177" s="8" t="n"/>
      <c r="F177" s="5" t="n"/>
    </row>
    <row r="178" ht="15.75" customHeight="1" s="18">
      <c r="A178" s="5" t="n"/>
      <c r="C178" s="8" t="n"/>
      <c r="F178" s="5" t="n"/>
    </row>
    <row r="179" ht="15.75" customHeight="1" s="18">
      <c r="A179" s="5" t="n"/>
      <c r="C179" s="8" t="n"/>
      <c r="F179" s="5" t="n"/>
    </row>
    <row r="180" ht="15.75" customHeight="1" s="18">
      <c r="A180" s="5" t="n"/>
      <c r="C180" s="8" t="n"/>
      <c r="F180" s="5" t="n"/>
    </row>
    <row r="181" ht="15.75" customHeight="1" s="18">
      <c r="A181" s="5" t="n"/>
      <c r="C181" s="8" t="n"/>
      <c r="F181" s="5" t="n"/>
    </row>
    <row r="182" ht="15.75" customHeight="1" s="18">
      <c r="A182" s="5" t="n"/>
      <c r="C182" s="8" t="n"/>
      <c r="F182" s="5" t="n"/>
    </row>
    <row r="183" ht="15.75" customHeight="1" s="18">
      <c r="A183" s="5" t="n"/>
      <c r="C183" s="8" t="n"/>
      <c r="F183" s="5" t="n"/>
    </row>
    <row r="184" ht="15.75" customHeight="1" s="18">
      <c r="A184" s="5" t="n"/>
      <c r="C184" s="8" t="n"/>
      <c r="F184" s="5" t="n"/>
    </row>
    <row r="185" ht="15.75" customHeight="1" s="18">
      <c r="A185" s="5" t="n"/>
      <c r="C185" s="8" t="n"/>
      <c r="F185" s="5" t="n"/>
    </row>
    <row r="186" ht="15.75" customHeight="1" s="18">
      <c r="A186" s="5" t="n"/>
      <c r="C186" s="8" t="n"/>
      <c r="F186" s="5" t="n"/>
    </row>
    <row r="187" ht="15.75" customHeight="1" s="18">
      <c r="A187" s="5" t="n"/>
      <c r="C187" s="8" t="n"/>
      <c r="F187" s="5" t="n"/>
    </row>
    <row r="188" ht="15.75" customHeight="1" s="18">
      <c r="A188" s="5" t="n"/>
      <c r="C188" s="8" t="n"/>
      <c r="F188" s="5" t="n"/>
    </row>
    <row r="189" ht="15.75" customHeight="1" s="18">
      <c r="A189" s="5" t="n"/>
      <c r="C189" s="8" t="n"/>
      <c r="F189" s="5" t="n"/>
    </row>
    <row r="190" ht="15.75" customHeight="1" s="18">
      <c r="A190" s="5" t="n"/>
      <c r="C190" s="8" t="n"/>
      <c r="F190" s="5" t="n"/>
    </row>
    <row r="191" ht="15.75" customHeight="1" s="18">
      <c r="A191" s="5" t="n"/>
      <c r="C191" s="8" t="n"/>
      <c r="F191" s="5" t="n"/>
    </row>
    <row r="192" ht="15.75" customHeight="1" s="18">
      <c r="A192" s="5" t="n"/>
      <c r="C192" s="8" t="n"/>
      <c r="F192" s="5" t="n"/>
    </row>
    <row r="193" ht="15.75" customHeight="1" s="18">
      <c r="A193" s="5" t="n"/>
      <c r="C193" s="8" t="n"/>
      <c r="F193" s="5" t="n"/>
    </row>
    <row r="194" ht="15.75" customHeight="1" s="18">
      <c r="A194" s="5" t="n"/>
      <c r="C194" s="8" t="n"/>
      <c r="F194" s="5" t="n"/>
    </row>
    <row r="195" ht="15.75" customHeight="1" s="18">
      <c r="A195" s="5" t="n"/>
      <c r="C195" s="8" t="n"/>
      <c r="F195" s="5" t="n"/>
    </row>
    <row r="196" ht="15.75" customHeight="1" s="18">
      <c r="A196" s="5" t="n"/>
      <c r="C196" s="8" t="n"/>
      <c r="F196" s="5" t="n"/>
    </row>
    <row r="197" ht="15.75" customHeight="1" s="18">
      <c r="A197" s="5" t="n"/>
      <c r="C197" s="8" t="n"/>
      <c r="F197" s="5" t="n"/>
    </row>
    <row r="198" ht="15.75" customHeight="1" s="18">
      <c r="A198" s="5" t="n"/>
      <c r="C198" s="8" t="n"/>
      <c r="F198" s="5" t="n"/>
    </row>
    <row r="199" ht="15.75" customHeight="1" s="18">
      <c r="A199" s="5" t="n"/>
      <c r="C199" s="8" t="n"/>
      <c r="F199" s="5" t="n"/>
    </row>
    <row r="200" ht="15.75" customHeight="1" s="18">
      <c r="A200" s="5" t="n"/>
      <c r="C200" s="8" t="n"/>
      <c r="F200" s="5" t="n"/>
    </row>
    <row r="201" ht="15.75" customHeight="1" s="18">
      <c r="A201" s="5" t="n"/>
      <c r="C201" s="8" t="n"/>
      <c r="F201" s="5" t="n"/>
    </row>
    <row r="202" ht="15.75" customHeight="1" s="18">
      <c r="A202" s="5" t="n"/>
      <c r="C202" s="8" t="n"/>
      <c r="F202" s="5" t="n"/>
    </row>
    <row r="203" ht="15.75" customHeight="1" s="18">
      <c r="A203" s="5" t="n"/>
      <c r="C203" s="8" t="n"/>
      <c r="F203" s="5" t="n"/>
    </row>
    <row r="204" ht="15.75" customHeight="1" s="18">
      <c r="A204" s="5" t="n"/>
      <c r="C204" s="8" t="n"/>
      <c r="F204" s="5" t="n"/>
    </row>
    <row r="205" ht="15.75" customHeight="1" s="18">
      <c r="A205" s="5" t="n"/>
      <c r="C205" s="8" t="n"/>
      <c r="F205" s="5" t="n"/>
    </row>
    <row r="206" ht="15.75" customHeight="1" s="18">
      <c r="A206" s="5" t="n"/>
      <c r="C206" s="8" t="n"/>
      <c r="F206" s="5" t="n"/>
    </row>
    <row r="207" ht="15.75" customHeight="1" s="18">
      <c r="A207" s="5" t="n"/>
      <c r="C207" s="8" t="n"/>
      <c r="F207" s="5" t="n"/>
    </row>
    <row r="208" ht="15.75" customHeight="1" s="18">
      <c r="A208" s="5" t="n"/>
      <c r="C208" s="8" t="n"/>
      <c r="F208" s="5" t="n"/>
    </row>
    <row r="209" ht="15.75" customHeight="1" s="18">
      <c r="A209" s="5" t="n"/>
      <c r="C209" s="8" t="n"/>
      <c r="F209" s="5" t="n"/>
    </row>
    <row r="210" ht="15.75" customHeight="1" s="18">
      <c r="A210" s="5" t="n"/>
      <c r="C210" s="8" t="n"/>
      <c r="F210" s="5" t="n"/>
    </row>
    <row r="211" ht="15.75" customHeight="1" s="18">
      <c r="A211" s="5" t="n"/>
      <c r="C211" s="8" t="n"/>
      <c r="F211" s="5" t="n"/>
    </row>
    <row r="212" ht="15.75" customHeight="1" s="18">
      <c r="A212" s="5" t="n"/>
      <c r="C212" s="8" t="n"/>
      <c r="F212" s="5" t="n"/>
    </row>
    <row r="213" ht="15.75" customHeight="1" s="18">
      <c r="A213" s="5" t="n"/>
      <c r="C213" s="8" t="n"/>
      <c r="F213" s="5" t="n"/>
    </row>
    <row r="214" ht="15.75" customHeight="1" s="18">
      <c r="A214" s="5" t="n"/>
      <c r="C214" s="8" t="n"/>
      <c r="F214" s="5" t="n"/>
    </row>
    <row r="215" ht="15.75" customHeight="1" s="18">
      <c r="A215" s="5" t="n"/>
      <c r="C215" s="8" t="n"/>
      <c r="F215" s="5" t="n"/>
    </row>
    <row r="216" ht="15.75" customHeight="1" s="18">
      <c r="A216" s="5" t="n"/>
      <c r="C216" s="8" t="n"/>
      <c r="F216" s="5" t="n"/>
    </row>
    <row r="217" ht="15.75" customHeight="1" s="18">
      <c r="A217" s="5" t="n"/>
      <c r="C217" s="8" t="n"/>
      <c r="F217" s="5" t="n"/>
    </row>
    <row r="218" ht="15.75" customHeight="1" s="18">
      <c r="A218" s="5" t="n"/>
      <c r="C218" s="8" t="n"/>
      <c r="F218" s="5" t="n"/>
    </row>
    <row r="219" ht="15.75" customHeight="1" s="18">
      <c r="A219" s="5" t="n"/>
      <c r="C219" s="8" t="n"/>
      <c r="F219" s="5" t="n"/>
    </row>
    <row r="220" ht="15.75" customHeight="1" s="18">
      <c r="A220" s="5" t="n"/>
      <c r="C220" s="8" t="n"/>
      <c r="F220" s="5" t="n"/>
    </row>
    <row r="221" ht="15.75" customHeight="1" s="18">
      <c r="C221" s="8" t="n"/>
    </row>
    <row r="222" ht="15.75" customHeight="1" s="18">
      <c r="C222" s="8" t="n"/>
    </row>
    <row r="223" ht="15.75" customHeight="1" s="18">
      <c r="C223" s="8" t="n"/>
    </row>
    <row r="224" ht="15.75" customHeight="1" s="18">
      <c r="C224" s="8" t="n"/>
    </row>
    <row r="225" ht="15.75" customHeight="1" s="18">
      <c r="C225" s="8" t="n"/>
    </row>
    <row r="226" ht="15.75" customHeight="1" s="18">
      <c r="C226" s="8" t="n"/>
    </row>
    <row r="227" ht="15.75" customHeight="1" s="18">
      <c r="C227" s="8" t="n"/>
    </row>
    <row r="228" ht="15.75" customHeight="1" s="18">
      <c r="C228" s="8" t="n"/>
    </row>
    <row r="229" ht="15.75" customHeight="1" s="18">
      <c r="C229" s="8" t="n"/>
    </row>
    <row r="230" ht="15.75" customHeight="1" s="18">
      <c r="C230" s="8" t="n"/>
    </row>
    <row r="231" ht="15.75" customHeight="1" s="18">
      <c r="C231" s="8" t="n"/>
    </row>
    <row r="232" ht="15.75" customHeight="1" s="18">
      <c r="C232" s="8" t="n"/>
    </row>
    <row r="233" ht="15.75" customHeight="1" s="18">
      <c r="C233" s="8" t="n"/>
    </row>
    <row r="234" ht="15.75" customHeight="1" s="18">
      <c r="C234" s="8" t="n"/>
    </row>
    <row r="235" ht="15.75" customHeight="1" s="18">
      <c r="C235" s="8" t="n"/>
    </row>
    <row r="236" ht="15.75" customHeight="1" s="18">
      <c r="C236" s="8" t="n"/>
    </row>
    <row r="237" ht="15.75" customHeight="1" s="18">
      <c r="C237" s="8" t="n"/>
    </row>
    <row r="238" ht="15.75" customHeight="1" s="18">
      <c r="C238" s="8" t="n"/>
    </row>
    <row r="239" ht="15.75" customHeight="1" s="18">
      <c r="C239" s="8" t="n"/>
    </row>
    <row r="240" ht="15.75" customHeight="1" s="18">
      <c r="C240" s="8" t="n"/>
    </row>
    <row r="241" ht="15.75" customHeight="1" s="18">
      <c r="C241" s="8" t="n"/>
    </row>
    <row r="242" ht="15.75" customHeight="1" s="18">
      <c r="C242" s="8" t="n"/>
    </row>
    <row r="243" ht="15.75" customHeight="1" s="18">
      <c r="C243" s="8" t="n"/>
    </row>
    <row r="244" ht="15.75" customHeight="1" s="18">
      <c r="C244" s="8" t="n"/>
    </row>
    <row r="245" ht="15.75" customHeight="1" s="18">
      <c r="C245" s="8" t="n"/>
    </row>
    <row r="246" ht="15.75" customHeight="1" s="18">
      <c r="C246" s="8" t="n"/>
    </row>
    <row r="247" ht="15.75" customHeight="1" s="18">
      <c r="C247" s="8" t="n"/>
    </row>
    <row r="248" ht="15.75" customHeight="1" s="18">
      <c r="C248" s="8" t="n"/>
    </row>
    <row r="249" ht="15.75" customHeight="1" s="18">
      <c r="C249" s="8" t="n"/>
    </row>
    <row r="250" ht="15.75" customHeight="1" s="18">
      <c r="C250" s="8" t="n"/>
    </row>
    <row r="251" ht="15.75" customHeight="1" s="18">
      <c r="C251" s="8" t="n"/>
    </row>
    <row r="252" ht="15.75" customHeight="1" s="18">
      <c r="C252" s="8" t="n"/>
    </row>
    <row r="253" ht="15.75" customHeight="1" s="18">
      <c r="C253" s="8" t="n"/>
    </row>
    <row r="254" ht="15.75" customHeight="1" s="18">
      <c r="C254" s="8" t="n"/>
    </row>
    <row r="255" ht="15.75" customHeight="1" s="18">
      <c r="C255" s="8" t="n"/>
    </row>
    <row r="256" ht="15.75" customHeight="1" s="18">
      <c r="C256" s="8" t="n"/>
    </row>
    <row r="257" ht="15.75" customHeight="1" s="18">
      <c r="C257" s="8" t="n"/>
    </row>
    <row r="258" ht="15.75" customHeight="1" s="18">
      <c r="C258" s="8" t="n"/>
    </row>
    <row r="259" ht="15.75" customHeight="1" s="18">
      <c r="C259" s="8" t="n"/>
    </row>
    <row r="260" ht="15.75" customHeight="1" s="18">
      <c r="C260" s="8" t="n"/>
    </row>
    <row r="261" ht="15.75" customHeight="1" s="18">
      <c r="C261" s="8" t="n"/>
    </row>
    <row r="262" ht="15.75" customHeight="1" s="18">
      <c r="C262" s="8" t="n"/>
    </row>
    <row r="263" ht="15.75" customHeight="1" s="18">
      <c r="C263" s="8" t="n"/>
    </row>
    <row r="264" ht="15.75" customHeight="1" s="18">
      <c r="C264" s="8" t="n"/>
    </row>
    <row r="265" ht="15.75" customHeight="1" s="18">
      <c r="C265" s="8" t="n"/>
    </row>
    <row r="266" ht="15.75" customHeight="1" s="18">
      <c r="C266" s="8" t="n"/>
    </row>
    <row r="267" ht="15.75" customHeight="1" s="18">
      <c r="C267" s="8" t="n"/>
    </row>
    <row r="268" ht="15.75" customHeight="1" s="18">
      <c r="C268" s="8" t="n"/>
    </row>
    <row r="269" ht="15.75" customHeight="1" s="18">
      <c r="C269" s="8" t="n"/>
    </row>
    <row r="270" ht="15.75" customHeight="1" s="18">
      <c r="C270" s="8" t="n"/>
    </row>
    <row r="271" ht="15.75" customHeight="1" s="18">
      <c r="C271" s="8" t="n"/>
    </row>
    <row r="272" ht="15.75" customHeight="1" s="18">
      <c r="C272" s="8" t="n"/>
    </row>
    <row r="273" ht="15.75" customHeight="1" s="18">
      <c r="C273" s="8" t="n"/>
    </row>
    <row r="274" ht="15.75" customHeight="1" s="18">
      <c r="C274" s="8" t="n"/>
    </row>
    <row r="275" ht="15.75" customHeight="1" s="18">
      <c r="C275" s="8" t="n"/>
    </row>
    <row r="276" ht="15.75" customHeight="1" s="18">
      <c r="C276" s="8" t="n"/>
    </row>
    <row r="277" ht="15.75" customHeight="1" s="18">
      <c r="C277" s="8" t="n"/>
    </row>
    <row r="278" ht="15.75" customHeight="1" s="18">
      <c r="C278" s="8" t="n"/>
    </row>
    <row r="279" ht="15.75" customHeight="1" s="18">
      <c r="C279" s="8" t="n"/>
    </row>
    <row r="280" ht="15.75" customHeight="1" s="18">
      <c r="C280" s="8" t="n"/>
    </row>
    <row r="281" ht="15.75" customHeight="1" s="18">
      <c r="C281" s="8" t="n"/>
    </row>
    <row r="282" ht="15.75" customHeight="1" s="18">
      <c r="C282" s="8" t="n"/>
    </row>
    <row r="283" ht="15.75" customHeight="1" s="18">
      <c r="C283" s="8" t="n"/>
    </row>
    <row r="284" ht="15.75" customHeight="1" s="18">
      <c r="C284" s="8" t="n"/>
    </row>
    <row r="285" ht="15.75" customHeight="1" s="18">
      <c r="C285" s="8" t="n"/>
    </row>
    <row r="286" ht="15.75" customHeight="1" s="18">
      <c r="C286" s="8" t="n"/>
    </row>
    <row r="287" ht="15.75" customHeight="1" s="18">
      <c r="C287" s="8" t="n"/>
    </row>
    <row r="288" ht="15.75" customHeight="1" s="18">
      <c r="C288" s="8" t="n"/>
    </row>
    <row r="289" ht="15.75" customHeight="1" s="18">
      <c r="C289" s="8" t="n"/>
    </row>
    <row r="290" ht="15.75" customHeight="1" s="18">
      <c r="C290" s="8" t="n"/>
    </row>
    <row r="291" ht="15.75" customHeight="1" s="18">
      <c r="C291" s="8" t="n"/>
    </row>
    <row r="292" ht="15.75" customHeight="1" s="18">
      <c r="C292" s="8" t="n"/>
    </row>
    <row r="293" ht="15.75" customHeight="1" s="18">
      <c r="C293" s="8" t="n"/>
    </row>
    <row r="294" ht="15.75" customHeight="1" s="18">
      <c r="C294" s="8" t="n"/>
    </row>
    <row r="295" ht="15.75" customHeight="1" s="18">
      <c r="C295" s="8" t="n"/>
    </row>
    <row r="296" ht="15.75" customHeight="1" s="18">
      <c r="C296" s="8" t="n"/>
    </row>
    <row r="297" ht="15.75" customHeight="1" s="18">
      <c r="C297" s="8" t="n"/>
    </row>
    <row r="298" ht="15.75" customHeight="1" s="18">
      <c r="C298" s="8" t="n"/>
    </row>
    <row r="299" ht="15.75" customHeight="1" s="18">
      <c r="C299" s="8" t="n"/>
    </row>
    <row r="300" ht="15.75" customHeight="1" s="18">
      <c r="C300" s="8" t="n"/>
    </row>
    <row r="301" ht="15.75" customHeight="1" s="18">
      <c r="C301" s="8" t="n"/>
    </row>
    <row r="302" ht="15.75" customHeight="1" s="18">
      <c r="C302" s="8" t="n"/>
    </row>
    <row r="303" ht="15.75" customHeight="1" s="18">
      <c r="C303" s="8" t="n"/>
    </row>
    <row r="304" ht="15.75" customHeight="1" s="18">
      <c r="C304" s="8" t="n"/>
    </row>
    <row r="305" ht="15.75" customHeight="1" s="18">
      <c r="C305" s="8" t="n"/>
    </row>
    <row r="306" ht="15.75" customHeight="1" s="18">
      <c r="C306" s="8" t="n"/>
    </row>
    <row r="307" ht="15.75" customHeight="1" s="18">
      <c r="C307" s="8" t="n"/>
    </row>
    <row r="308" ht="15.75" customHeight="1" s="18">
      <c r="C308" s="8" t="n"/>
    </row>
    <row r="309" ht="15.75" customHeight="1" s="18">
      <c r="C309" s="8" t="n"/>
    </row>
    <row r="310" ht="15.75" customHeight="1" s="18">
      <c r="C310" s="8" t="n"/>
    </row>
    <row r="311" ht="15.75" customHeight="1" s="18">
      <c r="C311" s="8" t="n"/>
    </row>
    <row r="312" ht="15.75" customHeight="1" s="18">
      <c r="C312" s="8" t="n"/>
    </row>
    <row r="313" ht="15.75" customHeight="1" s="18">
      <c r="C313" s="8" t="n"/>
    </row>
    <row r="314" ht="15.75" customHeight="1" s="18">
      <c r="C314" s="8" t="n"/>
    </row>
    <row r="315" ht="15.75" customHeight="1" s="18">
      <c r="C315" s="8" t="n"/>
    </row>
    <row r="316" ht="15.75" customHeight="1" s="18">
      <c r="C316" s="8" t="n"/>
    </row>
    <row r="317" ht="15.75" customHeight="1" s="18">
      <c r="C317" s="8" t="n"/>
    </row>
    <row r="318" ht="15.75" customHeight="1" s="18">
      <c r="C318" s="8" t="n"/>
    </row>
    <row r="319" ht="15.75" customHeight="1" s="18">
      <c r="C319" s="8" t="n"/>
    </row>
    <row r="320" ht="15.75" customHeight="1" s="18">
      <c r="C320" s="8" t="n"/>
    </row>
    <row r="321" ht="15.75" customHeight="1" s="18">
      <c r="C321" s="8" t="n"/>
    </row>
    <row r="322" ht="15.75" customHeight="1" s="18">
      <c r="C322" s="8" t="n"/>
    </row>
    <row r="323" ht="15.75" customHeight="1" s="18">
      <c r="C323" s="8" t="n"/>
    </row>
    <row r="324" ht="15.75" customHeight="1" s="18">
      <c r="C324" s="8" t="n"/>
    </row>
    <row r="325" ht="15.75" customHeight="1" s="18">
      <c r="C325" s="8" t="n"/>
    </row>
    <row r="326" ht="15.75" customHeight="1" s="18">
      <c r="C326" s="8" t="n"/>
    </row>
    <row r="327" ht="15.75" customHeight="1" s="18">
      <c r="C327" s="8" t="n"/>
    </row>
    <row r="328" ht="15.75" customHeight="1" s="18">
      <c r="C328" s="8" t="n"/>
    </row>
    <row r="329" ht="15.75" customHeight="1" s="18">
      <c r="C329" s="8" t="n"/>
    </row>
    <row r="330" ht="15.75" customHeight="1" s="18">
      <c r="C330" s="8" t="n"/>
    </row>
    <row r="331" ht="15.75" customHeight="1" s="18">
      <c r="C331" s="8" t="n"/>
    </row>
    <row r="332" ht="15.75" customHeight="1" s="18">
      <c r="C332" s="8" t="n"/>
    </row>
    <row r="333" ht="15.75" customHeight="1" s="18">
      <c r="C333" s="8" t="n"/>
    </row>
    <row r="334" ht="15.75" customHeight="1" s="18">
      <c r="C334" s="8" t="n"/>
    </row>
    <row r="335" ht="15.75" customHeight="1" s="18">
      <c r="C335" s="8" t="n"/>
    </row>
    <row r="336" ht="15.75" customHeight="1" s="18">
      <c r="C336" s="8" t="n"/>
    </row>
    <row r="337" ht="15.75" customHeight="1" s="18">
      <c r="C337" s="8" t="n"/>
    </row>
    <row r="338" ht="15.75" customHeight="1" s="18">
      <c r="C338" s="8" t="n"/>
    </row>
    <row r="339" ht="15.75" customHeight="1" s="18">
      <c r="C339" s="8" t="n"/>
    </row>
    <row r="340" ht="15.75" customHeight="1" s="18">
      <c r="C340" s="8" t="n"/>
    </row>
    <row r="341" ht="15.75" customHeight="1" s="18">
      <c r="C341" s="8" t="n"/>
    </row>
    <row r="342" ht="15.75" customHeight="1" s="18">
      <c r="C342" s="8" t="n"/>
    </row>
    <row r="343" ht="15.75" customHeight="1" s="18">
      <c r="C343" s="8" t="n"/>
    </row>
    <row r="344" ht="15.75" customHeight="1" s="18">
      <c r="C344" s="8" t="n"/>
    </row>
    <row r="345" ht="15.75" customHeight="1" s="18">
      <c r="C345" s="8" t="n"/>
    </row>
    <row r="346" ht="15.75" customHeight="1" s="18">
      <c r="C346" s="8" t="n"/>
    </row>
    <row r="347" ht="15.75" customHeight="1" s="18">
      <c r="C347" s="8" t="n"/>
    </row>
    <row r="348" ht="15.75" customHeight="1" s="18">
      <c r="C348" s="8" t="n"/>
    </row>
    <row r="349" ht="15.75" customHeight="1" s="18">
      <c r="C349" s="8" t="n"/>
    </row>
    <row r="350" ht="15.75" customHeight="1" s="18">
      <c r="C350" s="8" t="n"/>
    </row>
    <row r="351" ht="15.75" customHeight="1" s="18">
      <c r="C351" s="8" t="n"/>
    </row>
    <row r="352" ht="15.75" customHeight="1" s="18">
      <c r="C352" s="8" t="n"/>
    </row>
    <row r="353" ht="15.75" customHeight="1" s="18">
      <c r="C353" s="8" t="n"/>
    </row>
    <row r="354" ht="15.75" customHeight="1" s="18">
      <c r="C354" s="8" t="n"/>
    </row>
    <row r="355" ht="15.75" customHeight="1" s="18">
      <c r="C355" s="8" t="n"/>
    </row>
    <row r="356" ht="15.75" customHeight="1" s="18">
      <c r="C356" s="8" t="n"/>
    </row>
    <row r="357" ht="15.75" customHeight="1" s="18">
      <c r="C357" s="8" t="n"/>
    </row>
    <row r="358" ht="15.75" customHeight="1" s="18">
      <c r="C358" s="8" t="n"/>
    </row>
    <row r="359" ht="15.75" customHeight="1" s="18">
      <c r="C359" s="8" t="n"/>
    </row>
    <row r="360" ht="15.75" customHeight="1" s="18">
      <c r="C360" s="8" t="n"/>
    </row>
    <row r="361" ht="15.75" customHeight="1" s="18">
      <c r="C361" s="8" t="n"/>
    </row>
    <row r="362" ht="15.75" customHeight="1" s="18">
      <c r="C362" s="8" t="n"/>
    </row>
    <row r="363" ht="15.75" customHeight="1" s="18">
      <c r="C363" s="8" t="n"/>
    </row>
    <row r="364" ht="15.75" customHeight="1" s="18">
      <c r="C364" s="8" t="n"/>
    </row>
    <row r="365" ht="15.75" customHeight="1" s="18">
      <c r="C365" s="8" t="n"/>
    </row>
    <row r="366" ht="15.75" customHeight="1" s="18">
      <c r="C366" s="8" t="n"/>
    </row>
    <row r="367" ht="15.75" customHeight="1" s="18">
      <c r="C367" s="8" t="n"/>
    </row>
    <row r="368" ht="15.75" customHeight="1" s="18">
      <c r="C368" s="8" t="n"/>
    </row>
    <row r="369" ht="15.75" customHeight="1" s="18">
      <c r="C369" s="8" t="n"/>
    </row>
    <row r="370" ht="15.75" customHeight="1" s="18">
      <c r="C370" s="8" t="n"/>
    </row>
    <row r="371" ht="15.75" customHeight="1" s="18">
      <c r="C371" s="8" t="n"/>
    </row>
    <row r="372" ht="15.75" customHeight="1" s="18">
      <c r="C372" s="8" t="n"/>
    </row>
    <row r="373" ht="15.75" customHeight="1" s="18">
      <c r="C373" s="8" t="n"/>
    </row>
    <row r="374" ht="15.75" customHeight="1" s="18">
      <c r="C374" s="8" t="n"/>
    </row>
    <row r="375" ht="15.75" customHeight="1" s="18">
      <c r="C375" s="8" t="n"/>
    </row>
    <row r="376" ht="15.75" customHeight="1" s="18">
      <c r="C376" s="8" t="n"/>
    </row>
    <row r="377" ht="15.75" customHeight="1" s="18">
      <c r="C377" s="8" t="n"/>
    </row>
    <row r="378" ht="15.75" customHeight="1" s="18">
      <c r="C378" s="8" t="n"/>
    </row>
    <row r="379" ht="15.75" customHeight="1" s="18">
      <c r="C379" s="8" t="n"/>
    </row>
    <row r="380" ht="15.75" customHeight="1" s="18">
      <c r="C380" s="8" t="n"/>
    </row>
    <row r="381" ht="15.75" customHeight="1" s="18">
      <c r="C381" s="8" t="n"/>
    </row>
    <row r="382" ht="15.75" customHeight="1" s="18">
      <c r="C382" s="8" t="n"/>
    </row>
    <row r="383" ht="15.75" customHeight="1" s="18">
      <c r="C383" s="8" t="n"/>
    </row>
    <row r="384" ht="15.75" customHeight="1" s="18">
      <c r="C384" s="8" t="n"/>
    </row>
    <row r="385" ht="15.75" customHeight="1" s="18">
      <c r="C385" s="8" t="n"/>
    </row>
    <row r="386" ht="15.75" customHeight="1" s="18">
      <c r="C386" s="8" t="n"/>
    </row>
    <row r="387" ht="15.75" customHeight="1" s="18">
      <c r="C387" s="8" t="n"/>
    </row>
    <row r="388" ht="15.75" customHeight="1" s="18">
      <c r="C388" s="8" t="n"/>
    </row>
    <row r="389" ht="15.75" customHeight="1" s="18">
      <c r="C389" s="8" t="n"/>
    </row>
    <row r="390" ht="15.75" customHeight="1" s="18">
      <c r="C390" s="8" t="n"/>
    </row>
    <row r="391" ht="15.75" customHeight="1" s="18">
      <c r="C391" s="8" t="n"/>
    </row>
    <row r="392" ht="15.75" customHeight="1" s="18">
      <c r="C392" s="8" t="n"/>
    </row>
    <row r="393" ht="15.75" customHeight="1" s="18">
      <c r="C393" s="8" t="n"/>
    </row>
    <row r="394" ht="15.75" customHeight="1" s="18">
      <c r="C394" s="8" t="n"/>
    </row>
    <row r="395" ht="15.75" customHeight="1" s="18">
      <c r="C395" s="8" t="n"/>
    </row>
    <row r="396" ht="15.75" customHeight="1" s="18">
      <c r="C396" s="8" t="n"/>
    </row>
    <row r="397" ht="15.75" customHeight="1" s="18">
      <c r="C397" s="8" t="n"/>
    </row>
    <row r="398" ht="15.75" customHeight="1" s="18">
      <c r="C398" s="8" t="n"/>
    </row>
    <row r="399" ht="15.75" customHeight="1" s="18">
      <c r="C399" s="8" t="n"/>
    </row>
    <row r="400" ht="15.75" customHeight="1" s="18">
      <c r="C400" s="8" t="n"/>
    </row>
    <row r="401" ht="15.75" customHeight="1" s="18">
      <c r="C401" s="8" t="n"/>
    </row>
    <row r="402" ht="15.75" customHeight="1" s="18">
      <c r="C402" s="8" t="n"/>
    </row>
    <row r="403" ht="15.75" customHeight="1" s="18">
      <c r="C403" s="8" t="n"/>
    </row>
    <row r="404" ht="15.75" customHeight="1" s="18">
      <c r="C404" s="8" t="n"/>
    </row>
    <row r="405" ht="15.75" customHeight="1" s="18">
      <c r="C405" s="8" t="n"/>
    </row>
    <row r="406" ht="15.75" customHeight="1" s="18">
      <c r="C406" s="8" t="n"/>
    </row>
    <row r="407" ht="15.75" customHeight="1" s="18">
      <c r="C407" s="8" t="n"/>
    </row>
    <row r="408" ht="15.75" customHeight="1" s="18">
      <c r="C408" s="8" t="n"/>
    </row>
    <row r="409" ht="15.75" customHeight="1" s="18">
      <c r="C409" s="8" t="n"/>
    </row>
    <row r="410" ht="15.75" customHeight="1" s="18">
      <c r="C410" s="8" t="n"/>
    </row>
    <row r="411" ht="15.75" customHeight="1" s="18">
      <c r="C411" s="8" t="n"/>
    </row>
    <row r="412" ht="15.75" customHeight="1" s="18">
      <c r="C412" s="8" t="n"/>
    </row>
    <row r="413" ht="15.75" customHeight="1" s="18">
      <c r="C413" s="8" t="n"/>
    </row>
    <row r="414" ht="15.75" customHeight="1" s="18">
      <c r="C414" s="8" t="n"/>
    </row>
    <row r="415" ht="15.75" customHeight="1" s="18">
      <c r="C415" s="8" t="n"/>
    </row>
    <row r="416" ht="15.75" customHeight="1" s="18">
      <c r="C416" s="8" t="n"/>
    </row>
    <row r="417" ht="15.75" customHeight="1" s="18">
      <c r="C417" s="8" t="n"/>
    </row>
    <row r="418" ht="15.75" customHeight="1" s="18">
      <c r="C418" s="8" t="n"/>
    </row>
    <row r="419" ht="15.75" customHeight="1" s="18">
      <c r="C419" s="8" t="n"/>
    </row>
    <row r="420" ht="15.75" customHeight="1" s="18">
      <c r="C420" s="8" t="n"/>
    </row>
    <row r="421" ht="15.75" customHeight="1" s="18">
      <c r="C421" s="8" t="n"/>
    </row>
    <row r="422" ht="15.75" customHeight="1" s="18">
      <c r="C422" s="8" t="n"/>
    </row>
    <row r="423" ht="15.75" customHeight="1" s="18">
      <c r="C423" s="8" t="n"/>
    </row>
    <row r="424" ht="15.75" customHeight="1" s="18">
      <c r="C424" s="8" t="n"/>
    </row>
    <row r="425" ht="15.75" customHeight="1" s="18">
      <c r="C425" s="8" t="n"/>
    </row>
    <row r="426" ht="15.75" customHeight="1" s="18">
      <c r="C426" s="8" t="n"/>
    </row>
    <row r="427" ht="15.75" customHeight="1" s="18">
      <c r="C427" s="8" t="n"/>
    </row>
    <row r="428" ht="15.75" customHeight="1" s="18">
      <c r="C428" s="8" t="n"/>
    </row>
    <row r="429" ht="15.75" customHeight="1" s="18">
      <c r="C429" s="8" t="n"/>
    </row>
    <row r="430" ht="15.75" customHeight="1" s="18">
      <c r="C430" s="8" t="n"/>
    </row>
    <row r="431" ht="15.75" customHeight="1" s="18">
      <c r="C431" s="8" t="n"/>
    </row>
    <row r="432" ht="15.75" customHeight="1" s="18">
      <c r="C432" s="8" t="n"/>
    </row>
    <row r="433" ht="15.75" customHeight="1" s="18">
      <c r="C433" s="8" t="n"/>
    </row>
    <row r="434" ht="15.75" customHeight="1" s="18">
      <c r="C434" s="8" t="n"/>
    </row>
    <row r="435" ht="15.75" customHeight="1" s="18">
      <c r="C435" s="8" t="n"/>
    </row>
    <row r="436" ht="15.75" customHeight="1" s="18">
      <c r="C436" s="8" t="n"/>
    </row>
    <row r="437" ht="15.75" customHeight="1" s="18">
      <c r="C437" s="8" t="n"/>
    </row>
    <row r="438" ht="15.75" customHeight="1" s="18">
      <c r="C438" s="8" t="n"/>
    </row>
    <row r="439" ht="15.75" customHeight="1" s="18">
      <c r="C439" s="8" t="n"/>
    </row>
    <row r="440" ht="15.75" customHeight="1" s="18">
      <c r="C440" s="8" t="n"/>
    </row>
    <row r="441" ht="15.75" customHeight="1" s="18">
      <c r="C441" s="8" t="n"/>
    </row>
    <row r="442" ht="15.75" customHeight="1" s="18">
      <c r="C442" s="8" t="n"/>
    </row>
    <row r="443" ht="15.75" customHeight="1" s="18">
      <c r="C443" s="8" t="n"/>
    </row>
    <row r="444" ht="15.75" customHeight="1" s="18">
      <c r="C444" s="8" t="n"/>
    </row>
    <row r="445" ht="15.75" customHeight="1" s="18">
      <c r="C445" s="8" t="n"/>
    </row>
    <row r="446" ht="15.75" customHeight="1" s="18">
      <c r="C446" s="8" t="n"/>
    </row>
    <row r="447" ht="15.75" customHeight="1" s="18">
      <c r="C447" s="8" t="n"/>
    </row>
    <row r="448" ht="15.75" customHeight="1" s="18">
      <c r="C448" s="8" t="n"/>
    </row>
    <row r="449" ht="15.75" customHeight="1" s="18">
      <c r="C449" s="8" t="n"/>
    </row>
    <row r="450" ht="15.75" customHeight="1" s="18">
      <c r="C450" s="8" t="n"/>
    </row>
    <row r="451" ht="15.75" customHeight="1" s="18">
      <c r="C451" s="8" t="n"/>
    </row>
    <row r="452" ht="15.75" customHeight="1" s="18">
      <c r="C452" s="8" t="n"/>
    </row>
    <row r="453" ht="15.75" customHeight="1" s="18">
      <c r="C453" s="8" t="n"/>
    </row>
    <row r="454" ht="15.75" customHeight="1" s="18">
      <c r="C454" s="8" t="n"/>
    </row>
    <row r="455" ht="15.75" customHeight="1" s="18">
      <c r="C455" s="8" t="n"/>
    </row>
    <row r="456" ht="15.75" customHeight="1" s="18">
      <c r="C456" s="8" t="n"/>
    </row>
    <row r="457" ht="15.75" customHeight="1" s="18">
      <c r="C457" s="8" t="n"/>
    </row>
    <row r="458" ht="15.75" customHeight="1" s="18">
      <c r="C458" s="8" t="n"/>
    </row>
    <row r="459" ht="15.75" customHeight="1" s="18">
      <c r="C459" s="8" t="n"/>
    </row>
    <row r="460" ht="15.75" customHeight="1" s="18">
      <c r="C460" s="8" t="n"/>
    </row>
    <row r="461" ht="15.75" customHeight="1" s="18">
      <c r="C461" s="8" t="n"/>
    </row>
    <row r="462" ht="15.75" customHeight="1" s="18">
      <c r="C462" s="8" t="n"/>
    </row>
    <row r="463" ht="15.75" customHeight="1" s="18">
      <c r="C463" s="8" t="n"/>
    </row>
    <row r="464" ht="15.75" customHeight="1" s="18">
      <c r="C464" s="8" t="n"/>
    </row>
    <row r="465" ht="15.75" customHeight="1" s="18">
      <c r="C465" s="8" t="n"/>
    </row>
    <row r="466" ht="15.75" customHeight="1" s="18">
      <c r="C466" s="8" t="n"/>
    </row>
    <row r="467" ht="15.75" customHeight="1" s="18">
      <c r="C467" s="8" t="n"/>
    </row>
    <row r="468" ht="15.75" customHeight="1" s="18">
      <c r="C468" s="8" t="n"/>
    </row>
    <row r="469" ht="15.75" customHeight="1" s="18">
      <c r="C469" s="8" t="n"/>
    </row>
    <row r="470" ht="15.75" customHeight="1" s="18">
      <c r="C470" s="8" t="n"/>
    </row>
    <row r="471" ht="15.75" customHeight="1" s="18">
      <c r="C471" s="8" t="n"/>
    </row>
    <row r="472" ht="15.75" customHeight="1" s="18">
      <c r="C472" s="8" t="n"/>
    </row>
    <row r="473" ht="15.75" customHeight="1" s="18">
      <c r="C473" s="8" t="n"/>
    </row>
    <row r="474" ht="15.75" customHeight="1" s="18">
      <c r="C474" s="8" t="n"/>
    </row>
    <row r="475" ht="15.75" customHeight="1" s="18">
      <c r="C475" s="8" t="n"/>
    </row>
    <row r="476" ht="15.75" customHeight="1" s="18">
      <c r="C476" s="8" t="n"/>
    </row>
    <row r="477" ht="15.75" customHeight="1" s="18">
      <c r="C477" s="8" t="n"/>
    </row>
    <row r="478" ht="15.75" customHeight="1" s="18">
      <c r="C478" s="8" t="n"/>
    </row>
    <row r="479" ht="15.75" customHeight="1" s="18">
      <c r="C479" s="8" t="n"/>
    </row>
    <row r="480" ht="15.75" customHeight="1" s="18">
      <c r="C480" s="8" t="n"/>
    </row>
    <row r="481" ht="15.75" customHeight="1" s="18">
      <c r="C481" s="8" t="n"/>
    </row>
    <row r="482" ht="15.75" customHeight="1" s="18">
      <c r="C482" s="8" t="n"/>
    </row>
    <row r="483" ht="15.75" customHeight="1" s="18">
      <c r="C483" s="8" t="n"/>
    </row>
    <row r="484" ht="15.75" customHeight="1" s="18">
      <c r="C484" s="8" t="n"/>
    </row>
    <row r="485" ht="15.75" customHeight="1" s="18">
      <c r="C485" s="8" t="n"/>
    </row>
    <row r="486" ht="15.75" customHeight="1" s="18">
      <c r="C486" s="8" t="n"/>
    </row>
    <row r="487" ht="15.75" customHeight="1" s="18">
      <c r="C487" s="8" t="n"/>
    </row>
    <row r="488" ht="15.75" customHeight="1" s="18">
      <c r="C488" s="8" t="n"/>
    </row>
    <row r="489" ht="15.75" customHeight="1" s="18">
      <c r="C489" s="8" t="n"/>
    </row>
    <row r="490" ht="15.75" customHeight="1" s="18">
      <c r="C490" s="8" t="n"/>
    </row>
    <row r="491" ht="15.75" customHeight="1" s="18">
      <c r="C491" s="8" t="n"/>
    </row>
    <row r="492" ht="15.75" customHeight="1" s="18">
      <c r="C492" s="8" t="n"/>
    </row>
    <row r="493" ht="15.75" customHeight="1" s="18">
      <c r="C493" s="8" t="n"/>
    </row>
    <row r="494" ht="15.75" customHeight="1" s="18">
      <c r="C494" s="8" t="n"/>
    </row>
    <row r="495" ht="15.75" customHeight="1" s="18">
      <c r="C495" s="8" t="n"/>
    </row>
    <row r="496" ht="15.75" customHeight="1" s="18">
      <c r="C496" s="8" t="n"/>
    </row>
    <row r="497" ht="15.75" customHeight="1" s="18">
      <c r="C497" s="8" t="n"/>
    </row>
    <row r="498" ht="15.75" customHeight="1" s="18">
      <c r="C498" s="8" t="n"/>
    </row>
    <row r="499" ht="15.75" customHeight="1" s="18">
      <c r="C499" s="8" t="n"/>
    </row>
    <row r="500" ht="15.75" customHeight="1" s="18">
      <c r="C500" s="8" t="n"/>
    </row>
    <row r="501" ht="15.75" customHeight="1" s="18">
      <c r="C501" s="8" t="n"/>
    </row>
    <row r="502" ht="15.75" customHeight="1" s="18">
      <c r="C502" s="8" t="n"/>
    </row>
    <row r="503" ht="15.75" customHeight="1" s="18">
      <c r="C503" s="8" t="n"/>
    </row>
    <row r="504" ht="15.75" customHeight="1" s="18">
      <c r="C504" s="8" t="n"/>
    </row>
    <row r="505" ht="15.75" customHeight="1" s="18">
      <c r="C505" s="8" t="n"/>
    </row>
    <row r="506" ht="15.75" customHeight="1" s="18">
      <c r="C506" s="8" t="n"/>
    </row>
    <row r="507" ht="15.75" customHeight="1" s="18">
      <c r="C507" s="8" t="n"/>
    </row>
    <row r="508" ht="15.75" customHeight="1" s="18">
      <c r="C508" s="8" t="n"/>
    </row>
    <row r="509" ht="15.75" customHeight="1" s="18">
      <c r="C509" s="8" t="n"/>
    </row>
    <row r="510" ht="15.75" customHeight="1" s="18">
      <c r="C510" s="8" t="n"/>
    </row>
    <row r="511" ht="15.75" customHeight="1" s="18">
      <c r="C511" s="8" t="n"/>
    </row>
    <row r="512" ht="15.75" customHeight="1" s="18">
      <c r="C512" s="8" t="n"/>
    </row>
    <row r="513" ht="15.75" customHeight="1" s="18">
      <c r="C513" s="8" t="n"/>
    </row>
    <row r="514" ht="15.75" customHeight="1" s="18">
      <c r="C514" s="8" t="n"/>
    </row>
    <row r="515" ht="15.75" customHeight="1" s="18">
      <c r="C515" s="8" t="n"/>
    </row>
    <row r="516" ht="15.75" customHeight="1" s="18">
      <c r="C516" s="8" t="n"/>
    </row>
    <row r="517" ht="15.75" customHeight="1" s="18">
      <c r="C517" s="8" t="n"/>
    </row>
    <row r="518" ht="15.75" customHeight="1" s="18">
      <c r="C518" s="8" t="n"/>
    </row>
    <row r="519" ht="15.75" customHeight="1" s="18">
      <c r="C519" s="8" t="n"/>
    </row>
    <row r="520" ht="15.75" customHeight="1" s="18">
      <c r="C520" s="8" t="n"/>
    </row>
    <row r="521" ht="15.75" customHeight="1" s="18">
      <c r="C521" s="8" t="n"/>
    </row>
    <row r="522" ht="15.75" customHeight="1" s="18">
      <c r="C522" s="8" t="n"/>
    </row>
    <row r="523" ht="15.75" customHeight="1" s="18">
      <c r="C523" s="8" t="n"/>
    </row>
    <row r="524" ht="15.75" customHeight="1" s="18">
      <c r="C524" s="8" t="n"/>
    </row>
    <row r="525" ht="15.75" customHeight="1" s="18">
      <c r="C525" s="8" t="n"/>
    </row>
    <row r="526" ht="15.75" customHeight="1" s="18">
      <c r="C526" s="8" t="n"/>
    </row>
    <row r="527" ht="15.75" customHeight="1" s="18">
      <c r="C527" s="8" t="n"/>
    </row>
    <row r="528" ht="15.75" customHeight="1" s="18">
      <c r="C528" s="8" t="n"/>
    </row>
    <row r="529" ht="15.75" customHeight="1" s="18">
      <c r="C529" s="8" t="n"/>
    </row>
    <row r="530" ht="15.75" customHeight="1" s="18">
      <c r="C530" s="8" t="n"/>
    </row>
    <row r="531" ht="15.75" customHeight="1" s="18">
      <c r="C531" s="8" t="n"/>
    </row>
    <row r="532" ht="15.75" customHeight="1" s="18">
      <c r="C532" s="8" t="n"/>
    </row>
    <row r="533" ht="15.75" customHeight="1" s="18">
      <c r="C533" s="8" t="n"/>
    </row>
    <row r="534" ht="15.75" customHeight="1" s="18">
      <c r="C534" s="8" t="n"/>
    </row>
    <row r="535" ht="15.75" customHeight="1" s="18">
      <c r="C535" s="8" t="n"/>
    </row>
    <row r="536" ht="15.75" customHeight="1" s="18">
      <c r="C536" s="8" t="n"/>
    </row>
    <row r="537" ht="15.75" customHeight="1" s="18">
      <c r="C537" s="8" t="n"/>
    </row>
    <row r="538" ht="15.75" customHeight="1" s="18">
      <c r="C538" s="8" t="n"/>
    </row>
    <row r="539" ht="15.75" customHeight="1" s="18">
      <c r="C539" s="8" t="n"/>
    </row>
    <row r="540" ht="15.75" customHeight="1" s="18">
      <c r="C540" s="8" t="n"/>
    </row>
    <row r="541" ht="15.75" customHeight="1" s="18">
      <c r="C541" s="8" t="n"/>
    </row>
    <row r="542" ht="15.75" customHeight="1" s="18">
      <c r="C542" s="8" t="n"/>
    </row>
    <row r="543" ht="15.75" customHeight="1" s="18">
      <c r="C543" s="8" t="n"/>
    </row>
    <row r="544" ht="15.75" customHeight="1" s="18">
      <c r="C544" s="8" t="n"/>
    </row>
    <row r="545" ht="15.75" customHeight="1" s="18">
      <c r="C545" s="8" t="n"/>
    </row>
    <row r="546" ht="15.75" customHeight="1" s="18">
      <c r="C546" s="8" t="n"/>
    </row>
    <row r="547" ht="15.75" customHeight="1" s="18">
      <c r="C547" s="8" t="n"/>
    </row>
    <row r="548" ht="15.75" customHeight="1" s="18">
      <c r="C548" s="8" t="n"/>
    </row>
    <row r="549" ht="15.75" customHeight="1" s="18">
      <c r="C549" s="8" t="n"/>
    </row>
    <row r="550" ht="15.75" customHeight="1" s="18">
      <c r="C550" s="8" t="n"/>
    </row>
    <row r="551" ht="15.75" customHeight="1" s="18">
      <c r="C551" s="8" t="n"/>
    </row>
    <row r="552" ht="15.75" customHeight="1" s="18">
      <c r="C552" s="8" t="n"/>
    </row>
    <row r="553" ht="15.75" customHeight="1" s="18">
      <c r="C553" s="8" t="n"/>
    </row>
    <row r="554" ht="15.75" customHeight="1" s="18">
      <c r="C554" s="8" t="n"/>
    </row>
    <row r="555" ht="15.75" customHeight="1" s="18">
      <c r="C555" s="8" t="n"/>
    </row>
    <row r="556" ht="15.75" customHeight="1" s="18">
      <c r="C556" s="8" t="n"/>
    </row>
    <row r="557" ht="15.75" customHeight="1" s="18">
      <c r="C557" s="8" t="n"/>
    </row>
    <row r="558" ht="15.75" customHeight="1" s="18">
      <c r="C558" s="8" t="n"/>
    </row>
    <row r="559" ht="15.75" customHeight="1" s="18">
      <c r="C559" s="8" t="n"/>
    </row>
    <row r="560" ht="15.75" customHeight="1" s="18">
      <c r="C560" s="8" t="n"/>
    </row>
    <row r="561" ht="15.75" customHeight="1" s="18">
      <c r="C561" s="8" t="n"/>
    </row>
    <row r="562" ht="15.75" customHeight="1" s="18">
      <c r="C562" s="8" t="n"/>
    </row>
    <row r="563" ht="15.75" customHeight="1" s="18">
      <c r="C563" s="8" t="n"/>
    </row>
    <row r="564" ht="15.75" customHeight="1" s="18">
      <c r="C564" s="8" t="n"/>
    </row>
    <row r="565" ht="15.75" customHeight="1" s="18">
      <c r="C565" s="8" t="n"/>
    </row>
    <row r="566" ht="15.75" customHeight="1" s="18">
      <c r="C566" s="8" t="n"/>
    </row>
    <row r="567" ht="15.75" customHeight="1" s="18">
      <c r="C567" s="8" t="n"/>
    </row>
    <row r="568" ht="15.75" customHeight="1" s="18">
      <c r="C568" s="8" t="n"/>
    </row>
    <row r="569" ht="15.75" customHeight="1" s="18">
      <c r="C569" s="8" t="n"/>
    </row>
    <row r="570" ht="15.75" customHeight="1" s="18">
      <c r="C570" s="8" t="n"/>
    </row>
    <row r="571" ht="15.75" customHeight="1" s="18">
      <c r="C571" s="8" t="n"/>
    </row>
    <row r="572" ht="15.75" customHeight="1" s="18">
      <c r="C572" s="8" t="n"/>
    </row>
    <row r="573" ht="15.75" customHeight="1" s="18">
      <c r="C573" s="8" t="n"/>
    </row>
    <row r="574" ht="15.75" customHeight="1" s="18">
      <c r="C574" s="8" t="n"/>
    </row>
    <row r="575" ht="15.75" customHeight="1" s="18">
      <c r="C575" s="8" t="n"/>
    </row>
    <row r="576" ht="15.75" customHeight="1" s="18">
      <c r="C576" s="8" t="n"/>
    </row>
    <row r="577" ht="15.75" customHeight="1" s="18">
      <c r="C577" s="8" t="n"/>
    </row>
    <row r="578" ht="15.75" customHeight="1" s="18">
      <c r="C578" s="8" t="n"/>
    </row>
    <row r="579" ht="15.75" customHeight="1" s="18">
      <c r="C579" s="8" t="n"/>
    </row>
    <row r="580" ht="15.75" customHeight="1" s="18">
      <c r="C580" s="8" t="n"/>
    </row>
    <row r="581" ht="15.75" customHeight="1" s="18">
      <c r="C581" s="8" t="n"/>
    </row>
    <row r="582" ht="15.75" customHeight="1" s="18">
      <c r="C582" s="8" t="n"/>
    </row>
    <row r="583" ht="15.75" customHeight="1" s="18">
      <c r="C583" s="8" t="n"/>
    </row>
    <row r="584" ht="15.75" customHeight="1" s="18">
      <c r="C584" s="8" t="n"/>
    </row>
    <row r="585" ht="15.75" customHeight="1" s="18">
      <c r="C585" s="8" t="n"/>
    </row>
    <row r="586" ht="15.75" customHeight="1" s="18">
      <c r="C586" s="8" t="n"/>
    </row>
    <row r="587" ht="15.75" customHeight="1" s="18">
      <c r="C587" s="8" t="n"/>
    </row>
    <row r="588" ht="15.75" customHeight="1" s="18">
      <c r="C588" s="8" t="n"/>
    </row>
    <row r="589" ht="15.75" customHeight="1" s="18">
      <c r="C589" s="8" t="n"/>
    </row>
    <row r="590" ht="15.75" customHeight="1" s="18">
      <c r="C590" s="8" t="n"/>
    </row>
    <row r="591" ht="15.75" customHeight="1" s="18">
      <c r="C591" s="8" t="n"/>
    </row>
    <row r="592" ht="15.75" customHeight="1" s="18">
      <c r="C592" s="8" t="n"/>
    </row>
    <row r="593" ht="15.75" customHeight="1" s="18">
      <c r="C593" s="8" t="n"/>
    </row>
    <row r="594" ht="15.75" customHeight="1" s="18">
      <c r="C594" s="8" t="n"/>
    </row>
    <row r="595" ht="15.75" customHeight="1" s="18">
      <c r="C595" s="8" t="n"/>
    </row>
    <row r="596" ht="15.75" customHeight="1" s="18">
      <c r="C596" s="8" t="n"/>
    </row>
    <row r="597" ht="15.75" customHeight="1" s="18">
      <c r="C597" s="8" t="n"/>
    </row>
    <row r="598" ht="15.75" customHeight="1" s="18">
      <c r="C598" s="8" t="n"/>
    </row>
    <row r="599" ht="15.75" customHeight="1" s="18">
      <c r="C599" s="8" t="n"/>
    </row>
    <row r="600" ht="15.75" customHeight="1" s="18">
      <c r="C600" s="8" t="n"/>
    </row>
    <row r="601" ht="15.75" customHeight="1" s="18">
      <c r="C601" s="8" t="n"/>
    </row>
    <row r="602" ht="15.75" customHeight="1" s="18">
      <c r="C602" s="8" t="n"/>
    </row>
    <row r="603" ht="15.75" customHeight="1" s="18">
      <c r="C603" s="8" t="n"/>
    </row>
    <row r="604" ht="15.75" customHeight="1" s="18">
      <c r="C604" s="8" t="n"/>
    </row>
    <row r="605" ht="15.75" customHeight="1" s="18">
      <c r="C605" s="8" t="n"/>
    </row>
    <row r="606" ht="15.75" customHeight="1" s="18">
      <c r="C606" s="8" t="n"/>
    </row>
    <row r="607" ht="15.75" customHeight="1" s="18">
      <c r="C607" s="8" t="n"/>
    </row>
    <row r="608" ht="15.75" customHeight="1" s="18">
      <c r="C608" s="8" t="n"/>
    </row>
    <row r="609" ht="15.75" customHeight="1" s="18">
      <c r="C609" s="8" t="n"/>
    </row>
    <row r="610" ht="15.75" customHeight="1" s="18">
      <c r="C610" s="8" t="n"/>
    </row>
    <row r="611" ht="15.75" customHeight="1" s="18">
      <c r="C611" s="8" t="n"/>
    </row>
    <row r="612" ht="15.75" customHeight="1" s="18">
      <c r="C612" s="8" t="n"/>
    </row>
    <row r="613" ht="15.75" customHeight="1" s="18">
      <c r="C613" s="8" t="n"/>
    </row>
    <row r="614" ht="15.75" customHeight="1" s="18">
      <c r="C614" s="8" t="n"/>
    </row>
    <row r="615" ht="15.75" customHeight="1" s="18">
      <c r="C615" s="8" t="n"/>
    </row>
    <row r="616" ht="15.75" customHeight="1" s="18">
      <c r="C616" s="8" t="n"/>
    </row>
    <row r="617" ht="15.75" customHeight="1" s="18">
      <c r="C617" s="8" t="n"/>
    </row>
    <row r="618" ht="15.75" customHeight="1" s="18">
      <c r="C618" s="8" t="n"/>
    </row>
    <row r="619" ht="15.75" customHeight="1" s="18">
      <c r="C619" s="8" t="n"/>
    </row>
    <row r="620" ht="15.75" customHeight="1" s="18">
      <c r="C620" s="8" t="n"/>
    </row>
    <row r="621" ht="15.75" customHeight="1" s="18">
      <c r="C621" s="8" t="n"/>
    </row>
    <row r="622" ht="15.75" customHeight="1" s="18">
      <c r="C622" s="8" t="n"/>
    </row>
    <row r="623" ht="15.75" customHeight="1" s="18">
      <c r="C623" s="8" t="n"/>
    </row>
    <row r="624" ht="15.75" customHeight="1" s="18">
      <c r="C624" s="8" t="n"/>
    </row>
    <row r="625" ht="15.75" customHeight="1" s="18">
      <c r="C625" s="8" t="n"/>
    </row>
    <row r="626" ht="15.75" customHeight="1" s="18">
      <c r="C626" s="8" t="n"/>
    </row>
    <row r="627" ht="15.75" customHeight="1" s="18">
      <c r="C627" s="8" t="n"/>
    </row>
    <row r="628" ht="15.75" customHeight="1" s="18">
      <c r="C628" s="8" t="n"/>
    </row>
    <row r="629" ht="15.75" customHeight="1" s="18">
      <c r="C629" s="8" t="n"/>
    </row>
    <row r="630" ht="15.75" customHeight="1" s="18">
      <c r="C630" s="8" t="n"/>
    </row>
    <row r="631" ht="15.75" customHeight="1" s="18">
      <c r="C631" s="8" t="n"/>
    </row>
    <row r="632" ht="15.75" customHeight="1" s="18">
      <c r="C632" s="8" t="n"/>
    </row>
    <row r="633" ht="15.75" customHeight="1" s="18">
      <c r="C633" s="8" t="n"/>
    </row>
    <row r="634" ht="15.75" customHeight="1" s="18">
      <c r="C634" s="8" t="n"/>
    </row>
    <row r="635" ht="15.75" customHeight="1" s="18">
      <c r="C635" s="8" t="n"/>
    </row>
    <row r="636" ht="15.75" customHeight="1" s="18">
      <c r="C636" s="8" t="n"/>
    </row>
    <row r="637" ht="15.75" customHeight="1" s="18">
      <c r="C637" s="8" t="n"/>
    </row>
    <row r="638" ht="15.75" customHeight="1" s="18">
      <c r="C638" s="8" t="n"/>
    </row>
    <row r="639" ht="15.75" customHeight="1" s="18">
      <c r="C639" s="8" t="n"/>
    </row>
    <row r="640" ht="15.75" customHeight="1" s="18">
      <c r="C640" s="8" t="n"/>
    </row>
    <row r="641" ht="15.75" customHeight="1" s="18">
      <c r="C641" s="8" t="n"/>
    </row>
    <row r="642" ht="15.75" customHeight="1" s="18">
      <c r="C642" s="8" t="n"/>
    </row>
    <row r="643" ht="15.75" customHeight="1" s="18">
      <c r="C643" s="8" t="n"/>
    </row>
    <row r="644" ht="15.75" customHeight="1" s="18">
      <c r="C644" s="8" t="n"/>
    </row>
    <row r="645" ht="15.75" customHeight="1" s="18">
      <c r="C645" s="8" t="n"/>
    </row>
    <row r="646" ht="15.75" customHeight="1" s="18">
      <c r="C646" s="8" t="n"/>
    </row>
    <row r="647" ht="15.75" customHeight="1" s="18">
      <c r="C647" s="8" t="n"/>
    </row>
    <row r="648" ht="15.75" customHeight="1" s="18">
      <c r="C648" s="8" t="n"/>
    </row>
    <row r="649" ht="15.75" customHeight="1" s="18">
      <c r="C649" s="8" t="n"/>
    </row>
    <row r="650" ht="15.75" customHeight="1" s="18">
      <c r="C650" s="8" t="n"/>
    </row>
    <row r="651" ht="15.75" customHeight="1" s="18">
      <c r="C651" s="8" t="n"/>
    </row>
    <row r="652" ht="15.75" customHeight="1" s="18">
      <c r="C652" s="8" t="n"/>
    </row>
    <row r="653" ht="15.75" customHeight="1" s="18">
      <c r="C653" s="8" t="n"/>
    </row>
    <row r="654" ht="15.75" customHeight="1" s="18">
      <c r="C654" s="8" t="n"/>
    </row>
    <row r="655" ht="15.75" customHeight="1" s="18">
      <c r="C655" s="8" t="n"/>
    </row>
    <row r="656" ht="15.75" customHeight="1" s="18">
      <c r="C656" s="8" t="n"/>
    </row>
    <row r="657" ht="15.75" customHeight="1" s="18">
      <c r="C657" s="8" t="n"/>
    </row>
    <row r="658" ht="15.75" customHeight="1" s="18">
      <c r="C658" s="8" t="n"/>
    </row>
    <row r="659" ht="15.75" customHeight="1" s="18">
      <c r="C659" s="8" t="n"/>
    </row>
    <row r="660" ht="15.75" customHeight="1" s="18">
      <c r="C660" s="8" t="n"/>
    </row>
    <row r="661" ht="15.75" customHeight="1" s="18">
      <c r="C661" s="8" t="n"/>
    </row>
    <row r="662" ht="15.75" customHeight="1" s="18">
      <c r="C662" s="8" t="n"/>
    </row>
    <row r="663" ht="15.75" customHeight="1" s="18">
      <c r="C663" s="8" t="n"/>
    </row>
    <row r="664" ht="15.75" customHeight="1" s="18">
      <c r="C664" s="8" t="n"/>
    </row>
    <row r="665" ht="15.75" customHeight="1" s="18">
      <c r="C665" s="8" t="n"/>
    </row>
    <row r="666" ht="15.75" customHeight="1" s="18">
      <c r="C666" s="8" t="n"/>
    </row>
    <row r="667" ht="15.75" customHeight="1" s="18">
      <c r="C667" s="8" t="n"/>
    </row>
    <row r="668" ht="15.75" customHeight="1" s="18">
      <c r="C668" s="8" t="n"/>
    </row>
    <row r="669" ht="15.75" customHeight="1" s="18">
      <c r="C669" s="8" t="n"/>
    </row>
    <row r="670" ht="15.75" customHeight="1" s="18">
      <c r="C670" s="8" t="n"/>
    </row>
    <row r="671" ht="15.75" customHeight="1" s="18">
      <c r="C671" s="8" t="n"/>
    </row>
    <row r="672" ht="15.75" customHeight="1" s="18">
      <c r="C672" s="8" t="n"/>
    </row>
    <row r="673" ht="15.75" customHeight="1" s="18">
      <c r="C673" s="8" t="n"/>
    </row>
    <row r="674" ht="15.75" customHeight="1" s="18">
      <c r="C674" s="8" t="n"/>
    </row>
    <row r="675" ht="15.75" customHeight="1" s="18">
      <c r="C675" s="8" t="n"/>
    </row>
    <row r="676" ht="15.75" customHeight="1" s="18">
      <c r="C676" s="8" t="n"/>
    </row>
    <row r="677" ht="15.75" customHeight="1" s="18">
      <c r="C677" s="8" t="n"/>
    </row>
    <row r="678" ht="15.75" customHeight="1" s="18">
      <c r="C678" s="8" t="n"/>
    </row>
    <row r="679" ht="15.75" customHeight="1" s="18">
      <c r="C679" s="8" t="n"/>
    </row>
    <row r="680" ht="15.75" customHeight="1" s="18">
      <c r="C680" s="8" t="n"/>
    </row>
    <row r="681" ht="15.75" customHeight="1" s="18">
      <c r="C681" s="8" t="n"/>
    </row>
    <row r="682" ht="15.75" customHeight="1" s="18">
      <c r="C682" s="8" t="n"/>
    </row>
    <row r="683" ht="15.75" customHeight="1" s="18">
      <c r="C683" s="8" t="n"/>
    </row>
    <row r="684" ht="15.75" customHeight="1" s="18">
      <c r="C684" s="8" t="n"/>
    </row>
    <row r="685" ht="15.75" customHeight="1" s="18">
      <c r="C685" s="8" t="n"/>
    </row>
    <row r="686" ht="15.75" customHeight="1" s="18">
      <c r="C686" s="8" t="n"/>
    </row>
    <row r="687" ht="15.75" customHeight="1" s="18">
      <c r="C687" s="8" t="n"/>
    </row>
    <row r="688" ht="15.75" customHeight="1" s="18">
      <c r="C688" s="8" t="n"/>
    </row>
    <row r="689" ht="15.75" customHeight="1" s="18">
      <c r="C689" s="8" t="n"/>
    </row>
    <row r="690" ht="15.75" customHeight="1" s="18">
      <c r="C690" s="8" t="n"/>
    </row>
    <row r="691" ht="15.75" customHeight="1" s="18">
      <c r="C691" s="8" t="n"/>
    </row>
    <row r="692" ht="15.75" customHeight="1" s="18">
      <c r="C692" s="8" t="n"/>
    </row>
    <row r="693" ht="15.75" customHeight="1" s="18">
      <c r="C693" s="8" t="n"/>
    </row>
    <row r="694" ht="15.75" customHeight="1" s="18">
      <c r="C694" s="8" t="n"/>
    </row>
    <row r="695" ht="15.75" customHeight="1" s="18">
      <c r="C695" s="8" t="n"/>
    </row>
    <row r="696" ht="15.75" customHeight="1" s="18">
      <c r="C696" s="8" t="n"/>
    </row>
    <row r="697" ht="15.75" customHeight="1" s="18">
      <c r="C697" s="8" t="n"/>
    </row>
    <row r="698" ht="15.75" customHeight="1" s="18">
      <c r="C698" s="8" t="n"/>
    </row>
    <row r="699" ht="15.75" customHeight="1" s="18">
      <c r="C699" s="8" t="n"/>
    </row>
    <row r="700" ht="15.75" customHeight="1" s="18">
      <c r="C700" s="8" t="n"/>
    </row>
    <row r="701" ht="15.75" customHeight="1" s="18">
      <c r="C701" s="8" t="n"/>
    </row>
    <row r="702" ht="15.75" customHeight="1" s="18">
      <c r="C702" s="8" t="n"/>
    </row>
    <row r="703" ht="15.75" customHeight="1" s="18">
      <c r="C703" s="8" t="n"/>
    </row>
    <row r="704" ht="15.75" customHeight="1" s="18">
      <c r="C704" s="8" t="n"/>
    </row>
    <row r="705" ht="15.75" customHeight="1" s="18">
      <c r="C705" s="8" t="n"/>
    </row>
    <row r="706" ht="15.75" customHeight="1" s="18">
      <c r="C706" s="8" t="n"/>
    </row>
    <row r="707" ht="15.75" customHeight="1" s="18">
      <c r="C707" s="8" t="n"/>
    </row>
    <row r="708" ht="15.75" customHeight="1" s="18">
      <c r="C708" s="8" t="n"/>
    </row>
    <row r="709" ht="15.75" customHeight="1" s="18">
      <c r="C709" s="8" t="n"/>
    </row>
    <row r="710" ht="15.75" customHeight="1" s="18">
      <c r="C710" s="8" t="n"/>
    </row>
    <row r="711" ht="15.75" customHeight="1" s="18">
      <c r="C711" s="8" t="n"/>
    </row>
    <row r="712" ht="15.75" customHeight="1" s="18">
      <c r="C712" s="8" t="n"/>
    </row>
    <row r="713" ht="15.75" customHeight="1" s="18">
      <c r="C713" s="8" t="n"/>
    </row>
    <row r="714" ht="15.75" customHeight="1" s="18">
      <c r="C714" s="8" t="n"/>
    </row>
    <row r="715" ht="15.75" customHeight="1" s="18">
      <c r="C715" s="8" t="n"/>
    </row>
    <row r="716" ht="15.75" customHeight="1" s="18">
      <c r="C716" s="8" t="n"/>
    </row>
    <row r="717" ht="15.75" customHeight="1" s="18">
      <c r="C717" s="8" t="n"/>
    </row>
    <row r="718" ht="15.75" customHeight="1" s="18">
      <c r="C718" s="8" t="n"/>
    </row>
    <row r="719" ht="15.75" customHeight="1" s="18">
      <c r="C719" s="8" t="n"/>
    </row>
    <row r="720" ht="15.75" customHeight="1" s="18">
      <c r="C720" s="8" t="n"/>
    </row>
    <row r="721" ht="15.75" customHeight="1" s="18">
      <c r="C721" s="8" t="n"/>
    </row>
    <row r="722" ht="15.75" customHeight="1" s="18">
      <c r="C722" s="8" t="n"/>
    </row>
    <row r="723" ht="15.75" customHeight="1" s="18">
      <c r="C723" s="8" t="n"/>
    </row>
    <row r="724" ht="15.75" customHeight="1" s="18">
      <c r="C724" s="8" t="n"/>
    </row>
    <row r="725" ht="15.75" customHeight="1" s="18">
      <c r="C725" s="8" t="n"/>
    </row>
    <row r="726" ht="15.75" customHeight="1" s="18">
      <c r="C726" s="8" t="n"/>
    </row>
    <row r="727" ht="15.75" customHeight="1" s="18">
      <c r="C727" s="8" t="n"/>
    </row>
    <row r="728" ht="15.75" customHeight="1" s="18">
      <c r="C728" s="8" t="n"/>
    </row>
    <row r="729" ht="15.75" customHeight="1" s="18">
      <c r="C729" s="8" t="n"/>
    </row>
    <row r="730" ht="15.75" customHeight="1" s="18">
      <c r="C730" s="8" t="n"/>
    </row>
    <row r="731" ht="15.75" customHeight="1" s="18">
      <c r="C731" s="8" t="n"/>
    </row>
    <row r="732" ht="15.75" customHeight="1" s="18">
      <c r="C732" s="8" t="n"/>
    </row>
    <row r="733" ht="15.75" customHeight="1" s="18">
      <c r="C733" s="8" t="n"/>
    </row>
    <row r="734" ht="15.75" customHeight="1" s="18">
      <c r="C734" s="8" t="n"/>
    </row>
    <row r="735" ht="15.75" customHeight="1" s="18">
      <c r="C735" s="8" t="n"/>
    </row>
    <row r="736" ht="15.75" customHeight="1" s="18">
      <c r="C736" s="8" t="n"/>
    </row>
    <row r="737" ht="15.75" customHeight="1" s="18">
      <c r="C737" s="8" t="n"/>
    </row>
    <row r="738" ht="15.75" customHeight="1" s="18">
      <c r="C738" s="8" t="n"/>
    </row>
    <row r="739" ht="15.75" customHeight="1" s="18">
      <c r="C739" s="8" t="n"/>
    </row>
    <row r="740" ht="15.75" customHeight="1" s="18">
      <c r="C740" s="8" t="n"/>
    </row>
    <row r="741" ht="15.75" customHeight="1" s="18">
      <c r="C741" s="8" t="n"/>
    </row>
    <row r="742" ht="15.75" customHeight="1" s="18">
      <c r="C742" s="8" t="n"/>
    </row>
    <row r="743" ht="15.75" customHeight="1" s="18">
      <c r="C743" s="8" t="n"/>
    </row>
    <row r="744" ht="15.75" customHeight="1" s="18">
      <c r="C744" s="8" t="n"/>
    </row>
    <row r="745" ht="15.75" customHeight="1" s="18">
      <c r="C745" s="8" t="n"/>
    </row>
    <row r="746" ht="15.75" customHeight="1" s="18">
      <c r="C746" s="8" t="n"/>
    </row>
    <row r="747" ht="15.75" customHeight="1" s="18">
      <c r="C747" s="8" t="n"/>
    </row>
    <row r="748" ht="15.75" customHeight="1" s="18">
      <c r="C748" s="8" t="n"/>
    </row>
    <row r="749" ht="15.75" customHeight="1" s="18">
      <c r="C749" s="8" t="n"/>
    </row>
    <row r="750" ht="15.75" customHeight="1" s="18">
      <c r="C750" s="8" t="n"/>
    </row>
    <row r="751" ht="15.75" customHeight="1" s="18">
      <c r="C751" s="8" t="n"/>
    </row>
    <row r="752" ht="15.75" customHeight="1" s="18">
      <c r="C752" s="8" t="n"/>
    </row>
    <row r="753" ht="15.75" customHeight="1" s="18">
      <c r="C753" s="8" t="n"/>
    </row>
    <row r="754" ht="15.75" customHeight="1" s="18">
      <c r="C754" s="8" t="n"/>
    </row>
    <row r="755" ht="15.75" customHeight="1" s="18">
      <c r="C755" s="8" t="n"/>
    </row>
    <row r="756" ht="15.75" customHeight="1" s="18">
      <c r="C756" s="8" t="n"/>
    </row>
    <row r="757" ht="15.75" customHeight="1" s="18">
      <c r="C757" s="8" t="n"/>
    </row>
    <row r="758" ht="15.75" customHeight="1" s="18">
      <c r="C758" s="8" t="n"/>
    </row>
    <row r="759" ht="15.75" customHeight="1" s="18">
      <c r="C759" s="8" t="n"/>
    </row>
    <row r="760" ht="15.75" customHeight="1" s="18">
      <c r="C760" s="8" t="n"/>
    </row>
    <row r="761" ht="15.75" customHeight="1" s="18">
      <c r="C761" s="8" t="n"/>
    </row>
    <row r="762" ht="15.75" customHeight="1" s="18">
      <c r="C762" s="8" t="n"/>
    </row>
    <row r="763" ht="15.75" customHeight="1" s="18">
      <c r="C763" s="8" t="n"/>
    </row>
    <row r="764" ht="15.75" customHeight="1" s="18">
      <c r="C764" s="8" t="n"/>
    </row>
    <row r="765" ht="15.75" customHeight="1" s="18">
      <c r="C765" s="8" t="n"/>
    </row>
    <row r="766" ht="15.75" customHeight="1" s="18">
      <c r="C766" s="8" t="n"/>
    </row>
    <row r="767" ht="15.75" customHeight="1" s="18">
      <c r="C767" s="8" t="n"/>
    </row>
    <row r="768" ht="15.75" customHeight="1" s="18">
      <c r="C768" s="8" t="n"/>
    </row>
    <row r="769" ht="15.75" customHeight="1" s="18">
      <c r="C769" s="8" t="n"/>
    </row>
    <row r="770" ht="15.75" customHeight="1" s="18">
      <c r="C770" s="8" t="n"/>
    </row>
    <row r="771" ht="15.75" customHeight="1" s="18">
      <c r="C771" s="8" t="n"/>
    </row>
    <row r="772" ht="15.75" customHeight="1" s="18">
      <c r="C772" s="8" t="n"/>
    </row>
    <row r="773" ht="15.75" customHeight="1" s="18">
      <c r="C773" s="8" t="n"/>
    </row>
    <row r="774" ht="15.75" customHeight="1" s="18">
      <c r="C774" s="8" t="n"/>
    </row>
    <row r="775" ht="15.75" customHeight="1" s="18">
      <c r="C775" s="8" t="n"/>
    </row>
    <row r="776" ht="15.75" customHeight="1" s="18">
      <c r="C776" s="8" t="n"/>
    </row>
    <row r="777" ht="15.75" customHeight="1" s="18">
      <c r="C777" s="8" t="n"/>
    </row>
    <row r="778" ht="15.75" customHeight="1" s="18">
      <c r="C778" s="8" t="n"/>
    </row>
    <row r="779" ht="15.75" customHeight="1" s="18">
      <c r="C779" s="8" t="n"/>
    </row>
    <row r="780" ht="15.75" customHeight="1" s="18">
      <c r="C780" s="8" t="n"/>
    </row>
    <row r="781" ht="15.75" customHeight="1" s="18">
      <c r="C781" s="8" t="n"/>
    </row>
    <row r="782" ht="15.75" customHeight="1" s="18">
      <c r="C782" s="8" t="n"/>
    </row>
    <row r="783" ht="15.75" customHeight="1" s="18">
      <c r="C783" s="8" t="n"/>
    </row>
    <row r="784" ht="15.75" customHeight="1" s="18">
      <c r="C784" s="8" t="n"/>
    </row>
    <row r="785" ht="15.75" customHeight="1" s="18">
      <c r="C785" s="8" t="n"/>
    </row>
    <row r="786" ht="15.75" customHeight="1" s="18">
      <c r="C786" s="8" t="n"/>
    </row>
    <row r="787" ht="15.75" customHeight="1" s="18">
      <c r="C787" s="8" t="n"/>
    </row>
    <row r="788" ht="15.75" customHeight="1" s="18">
      <c r="C788" s="8" t="n"/>
    </row>
    <row r="789" ht="15.75" customHeight="1" s="18">
      <c r="C789" s="8" t="n"/>
    </row>
    <row r="790" ht="15.75" customHeight="1" s="18">
      <c r="C790" s="8" t="n"/>
    </row>
    <row r="791" ht="15.75" customHeight="1" s="18">
      <c r="C791" s="8" t="n"/>
    </row>
    <row r="792" ht="15.75" customHeight="1" s="18">
      <c r="C792" s="8" t="n"/>
    </row>
    <row r="793" ht="15.75" customHeight="1" s="18">
      <c r="C793" s="8" t="n"/>
    </row>
    <row r="794" ht="15.75" customHeight="1" s="18">
      <c r="C794" s="8" t="n"/>
    </row>
    <row r="795" ht="15.75" customHeight="1" s="18">
      <c r="C795" s="8" t="n"/>
    </row>
    <row r="796" ht="15.75" customHeight="1" s="18">
      <c r="C796" s="8" t="n"/>
    </row>
    <row r="797" ht="15.75" customHeight="1" s="18">
      <c r="C797" s="8" t="n"/>
    </row>
    <row r="798" ht="15.75" customHeight="1" s="18">
      <c r="C798" s="8" t="n"/>
    </row>
    <row r="799" ht="15.75" customHeight="1" s="18">
      <c r="C799" s="8" t="n"/>
    </row>
    <row r="800" ht="15.75" customHeight="1" s="18">
      <c r="C800" s="8" t="n"/>
    </row>
    <row r="801" ht="15.75" customHeight="1" s="18">
      <c r="C801" s="8" t="n"/>
    </row>
    <row r="802" ht="15.75" customHeight="1" s="18">
      <c r="C802" s="8" t="n"/>
    </row>
    <row r="803" ht="15.75" customHeight="1" s="18">
      <c r="C803" s="8" t="n"/>
    </row>
    <row r="804" ht="15.75" customHeight="1" s="18">
      <c r="C804" s="8" t="n"/>
    </row>
    <row r="805" ht="15.75" customHeight="1" s="18">
      <c r="C805" s="8" t="n"/>
    </row>
    <row r="806" ht="15.75" customHeight="1" s="18">
      <c r="C806" s="8" t="n"/>
    </row>
    <row r="807" ht="15.75" customHeight="1" s="18">
      <c r="C807" s="8" t="n"/>
    </row>
    <row r="808" ht="15.75" customHeight="1" s="18">
      <c r="C808" s="8" t="n"/>
    </row>
    <row r="809" ht="15.75" customHeight="1" s="18">
      <c r="C809" s="8" t="n"/>
    </row>
    <row r="810" ht="15.75" customHeight="1" s="18">
      <c r="C810" s="8" t="n"/>
    </row>
    <row r="811" ht="15.75" customHeight="1" s="18">
      <c r="C811" s="8" t="n"/>
    </row>
    <row r="812" ht="15.75" customHeight="1" s="18">
      <c r="C812" s="8" t="n"/>
    </row>
    <row r="813" ht="15.75" customHeight="1" s="18">
      <c r="C813" s="8" t="n"/>
    </row>
    <row r="814" ht="15.75" customHeight="1" s="18">
      <c r="C814" s="8" t="n"/>
    </row>
    <row r="815" ht="15.75" customHeight="1" s="18">
      <c r="C815" s="8" t="n"/>
    </row>
    <row r="816" ht="15.75" customHeight="1" s="18">
      <c r="C816" s="8" t="n"/>
    </row>
    <row r="817" ht="15.75" customHeight="1" s="18">
      <c r="C817" s="8" t="n"/>
    </row>
    <row r="818" ht="15.75" customHeight="1" s="18">
      <c r="C818" s="8" t="n"/>
    </row>
    <row r="819" ht="15.75" customHeight="1" s="18">
      <c r="C819" s="8" t="n"/>
    </row>
    <row r="820" ht="15.75" customHeight="1" s="18">
      <c r="C820" s="8" t="n"/>
    </row>
    <row r="821" ht="15.75" customHeight="1" s="18">
      <c r="C821" s="8" t="n"/>
    </row>
    <row r="822" ht="15.75" customHeight="1" s="18">
      <c r="C822" s="8" t="n"/>
    </row>
    <row r="823" ht="15.75" customHeight="1" s="18">
      <c r="C823" s="8" t="n"/>
    </row>
    <row r="824" ht="15.75" customHeight="1" s="18">
      <c r="C824" s="8" t="n"/>
    </row>
    <row r="825" ht="15.75" customHeight="1" s="18">
      <c r="C825" s="8" t="n"/>
    </row>
    <row r="826" ht="15.75" customHeight="1" s="18">
      <c r="C826" s="8" t="n"/>
    </row>
    <row r="827" ht="15.75" customHeight="1" s="18">
      <c r="C827" s="8" t="n"/>
    </row>
    <row r="828" ht="15.75" customHeight="1" s="18">
      <c r="C828" s="8" t="n"/>
    </row>
    <row r="829" ht="15.75" customHeight="1" s="18">
      <c r="C829" s="8" t="n"/>
    </row>
    <row r="830" ht="15.75" customHeight="1" s="18">
      <c r="C830" s="8" t="n"/>
    </row>
    <row r="831" ht="15.75" customHeight="1" s="18">
      <c r="C831" s="8" t="n"/>
    </row>
    <row r="832" ht="15.75" customHeight="1" s="18">
      <c r="C832" s="8" t="n"/>
    </row>
    <row r="833" ht="15.75" customHeight="1" s="18">
      <c r="C833" s="8" t="n"/>
    </row>
    <row r="834" ht="15.75" customHeight="1" s="18">
      <c r="C834" s="8" t="n"/>
    </row>
    <row r="835" ht="15.75" customHeight="1" s="18">
      <c r="C835" s="8" t="n"/>
    </row>
    <row r="836" ht="15.75" customHeight="1" s="18">
      <c r="C836" s="8" t="n"/>
    </row>
    <row r="837" ht="15.75" customHeight="1" s="18">
      <c r="C837" s="8" t="n"/>
    </row>
    <row r="838" ht="15.75" customHeight="1" s="18">
      <c r="C838" s="8" t="n"/>
    </row>
    <row r="839" ht="15.75" customHeight="1" s="18">
      <c r="C839" s="8" t="n"/>
    </row>
    <row r="840" ht="15.75" customHeight="1" s="18">
      <c r="C840" s="8" t="n"/>
    </row>
    <row r="841" ht="15.75" customHeight="1" s="18">
      <c r="C841" s="8" t="n"/>
    </row>
    <row r="842" ht="15.75" customHeight="1" s="18">
      <c r="C842" s="8" t="n"/>
    </row>
    <row r="843" ht="15.75" customHeight="1" s="18">
      <c r="C843" s="8" t="n"/>
    </row>
    <row r="844" ht="15.75" customHeight="1" s="18">
      <c r="C844" s="8" t="n"/>
    </row>
    <row r="845" ht="15.75" customHeight="1" s="18">
      <c r="C845" s="8" t="n"/>
    </row>
    <row r="846" ht="15.75" customHeight="1" s="18">
      <c r="C846" s="8" t="n"/>
    </row>
    <row r="847" ht="15.75" customHeight="1" s="18">
      <c r="C847" s="8" t="n"/>
    </row>
    <row r="848" ht="15.75" customHeight="1" s="18">
      <c r="C848" s="8" t="n"/>
    </row>
    <row r="849" ht="15.75" customHeight="1" s="18">
      <c r="C849" s="8" t="n"/>
    </row>
    <row r="850" ht="15.75" customHeight="1" s="18">
      <c r="C850" s="8" t="n"/>
    </row>
    <row r="851" ht="15.75" customHeight="1" s="18">
      <c r="C851" s="8" t="n"/>
    </row>
    <row r="852" ht="15.75" customHeight="1" s="18">
      <c r="C852" s="8" t="n"/>
    </row>
    <row r="853" ht="15.75" customHeight="1" s="18">
      <c r="C853" s="8" t="n"/>
    </row>
    <row r="854" ht="15.75" customHeight="1" s="18">
      <c r="C854" s="8" t="n"/>
    </row>
    <row r="855" ht="15.75" customHeight="1" s="18">
      <c r="C855" s="8" t="n"/>
    </row>
    <row r="856" ht="15.75" customHeight="1" s="18">
      <c r="C856" s="8" t="n"/>
    </row>
    <row r="857" ht="15.75" customHeight="1" s="18">
      <c r="C857" s="8" t="n"/>
    </row>
    <row r="858" ht="15.75" customHeight="1" s="18">
      <c r="C858" s="8" t="n"/>
    </row>
    <row r="859" ht="15.75" customHeight="1" s="18">
      <c r="C859" s="8" t="n"/>
    </row>
    <row r="860" ht="15.75" customHeight="1" s="18">
      <c r="C860" s="8" t="n"/>
    </row>
    <row r="861" ht="15.75" customHeight="1" s="18">
      <c r="C861" s="8" t="n"/>
    </row>
    <row r="862" ht="15.75" customHeight="1" s="18">
      <c r="C862" s="8" t="n"/>
    </row>
    <row r="863" ht="15.75" customHeight="1" s="18">
      <c r="C863" s="8" t="n"/>
    </row>
    <row r="864" ht="15.75" customHeight="1" s="18">
      <c r="C864" s="8" t="n"/>
    </row>
    <row r="865" ht="15.75" customHeight="1" s="18">
      <c r="C865" s="8" t="n"/>
    </row>
    <row r="866" ht="15.75" customHeight="1" s="18">
      <c r="C866" s="8" t="n"/>
    </row>
    <row r="867" ht="15.75" customHeight="1" s="18">
      <c r="C867" s="8" t="n"/>
    </row>
    <row r="868" ht="15.75" customHeight="1" s="18">
      <c r="C868" s="8" t="n"/>
    </row>
    <row r="869" ht="15.75" customHeight="1" s="18">
      <c r="C869" s="8" t="n"/>
    </row>
    <row r="870" ht="15.75" customHeight="1" s="18">
      <c r="C870" s="8" t="n"/>
    </row>
    <row r="871" ht="15.75" customHeight="1" s="18">
      <c r="C871" s="8" t="n"/>
    </row>
    <row r="872" ht="15.75" customHeight="1" s="18">
      <c r="C872" s="8" t="n"/>
    </row>
    <row r="873" ht="15.75" customHeight="1" s="18">
      <c r="C873" s="8" t="n"/>
    </row>
    <row r="874" ht="15.75" customHeight="1" s="18">
      <c r="C874" s="8" t="n"/>
    </row>
    <row r="875" ht="15.75" customHeight="1" s="18">
      <c r="C875" s="8" t="n"/>
    </row>
    <row r="876" ht="15.75" customHeight="1" s="18">
      <c r="C876" s="8" t="n"/>
    </row>
    <row r="877" ht="15.75" customHeight="1" s="18">
      <c r="C877" s="8" t="n"/>
    </row>
    <row r="878" ht="15.75" customHeight="1" s="18">
      <c r="C878" s="8" t="n"/>
    </row>
    <row r="879" ht="15.75" customHeight="1" s="18">
      <c r="C879" s="8" t="n"/>
    </row>
    <row r="880" ht="15.75" customHeight="1" s="18">
      <c r="C880" s="8" t="n"/>
    </row>
    <row r="881" ht="15.75" customHeight="1" s="18">
      <c r="C881" s="8" t="n"/>
    </row>
    <row r="882" ht="15.75" customHeight="1" s="18">
      <c r="C882" s="8" t="n"/>
    </row>
    <row r="883" ht="15.75" customHeight="1" s="18">
      <c r="C883" s="8" t="n"/>
    </row>
    <row r="884" ht="15.75" customHeight="1" s="18">
      <c r="C884" s="8" t="n"/>
    </row>
    <row r="885" ht="15.75" customHeight="1" s="18">
      <c r="C885" s="8" t="n"/>
    </row>
    <row r="886" ht="15.75" customHeight="1" s="18">
      <c r="C886" s="8" t="n"/>
    </row>
    <row r="887" ht="15.75" customHeight="1" s="18">
      <c r="C887" s="8" t="n"/>
    </row>
    <row r="888" ht="15.75" customHeight="1" s="18">
      <c r="C888" s="8" t="n"/>
    </row>
    <row r="889" ht="15.75" customHeight="1" s="18">
      <c r="C889" s="8" t="n"/>
    </row>
    <row r="890" ht="15.75" customHeight="1" s="18">
      <c r="C890" s="8" t="n"/>
    </row>
    <row r="891" ht="15.75" customHeight="1" s="18">
      <c r="C891" s="8" t="n"/>
    </row>
    <row r="892" ht="15.75" customHeight="1" s="18">
      <c r="C892" s="8" t="n"/>
    </row>
    <row r="893" ht="15.75" customHeight="1" s="18">
      <c r="C893" s="8" t="n"/>
    </row>
    <row r="894" ht="15.75" customHeight="1" s="18">
      <c r="C894" s="8" t="n"/>
    </row>
    <row r="895" ht="15.75" customHeight="1" s="18">
      <c r="C895" s="8" t="n"/>
    </row>
    <row r="896" ht="15.75" customHeight="1" s="18">
      <c r="C896" s="8" t="n"/>
    </row>
    <row r="897" ht="15.75" customHeight="1" s="18">
      <c r="C897" s="8" t="n"/>
    </row>
    <row r="898" ht="15.75" customHeight="1" s="18">
      <c r="C898" s="8" t="n"/>
    </row>
    <row r="899" ht="15.75" customHeight="1" s="18">
      <c r="C899" s="8" t="n"/>
    </row>
    <row r="900" ht="15.75" customHeight="1" s="18">
      <c r="C900" s="8" t="n"/>
    </row>
    <row r="901" ht="15.75" customHeight="1" s="18">
      <c r="C901" s="8" t="n"/>
    </row>
    <row r="902" ht="15.75" customHeight="1" s="18">
      <c r="C902" s="8" t="n"/>
    </row>
    <row r="903" ht="15.75" customHeight="1" s="18">
      <c r="C903" s="8" t="n"/>
    </row>
    <row r="904" ht="15.75" customHeight="1" s="18">
      <c r="C904" s="8" t="n"/>
    </row>
    <row r="905" ht="15.75" customHeight="1" s="18">
      <c r="C905" s="8" t="n"/>
    </row>
    <row r="906" ht="15.75" customHeight="1" s="18">
      <c r="C906" s="8" t="n"/>
    </row>
    <row r="907" ht="15.75" customHeight="1" s="18">
      <c r="C907" s="8" t="n"/>
    </row>
    <row r="908" ht="15.75" customHeight="1" s="18">
      <c r="C908" s="8" t="n"/>
    </row>
    <row r="909" ht="15.75" customHeight="1" s="18">
      <c r="C909" s="8" t="n"/>
    </row>
    <row r="910" ht="15.75" customHeight="1" s="18">
      <c r="C910" s="8" t="n"/>
    </row>
    <row r="911" ht="15.75" customHeight="1" s="18">
      <c r="C911" s="8" t="n"/>
    </row>
    <row r="912" ht="15.75" customHeight="1" s="18">
      <c r="C912" s="8" t="n"/>
    </row>
    <row r="913" ht="15.75" customHeight="1" s="18">
      <c r="C913" s="8" t="n"/>
    </row>
    <row r="914" ht="15.75" customHeight="1" s="18">
      <c r="C914" s="8" t="n"/>
    </row>
    <row r="915" ht="15.75" customHeight="1" s="18">
      <c r="C915" s="8" t="n"/>
    </row>
    <row r="916" ht="15.75" customHeight="1" s="18">
      <c r="C916" s="8" t="n"/>
    </row>
    <row r="917" ht="15.75" customHeight="1" s="18">
      <c r="C917" s="8" t="n"/>
    </row>
    <row r="918" ht="15.75" customHeight="1" s="18">
      <c r="C918" s="8" t="n"/>
    </row>
    <row r="919" ht="15.75" customHeight="1" s="18">
      <c r="C919" s="8" t="n"/>
    </row>
    <row r="920" ht="15.75" customHeight="1" s="18">
      <c r="C920" s="8" t="n"/>
    </row>
    <row r="921" ht="15.75" customHeight="1" s="18">
      <c r="C921" s="8" t="n"/>
    </row>
    <row r="922" ht="15.75" customHeight="1" s="18">
      <c r="C922" s="8" t="n"/>
    </row>
    <row r="923" ht="15.75" customHeight="1" s="18">
      <c r="C923" s="8" t="n"/>
    </row>
    <row r="924" ht="15.75" customHeight="1" s="18">
      <c r="C924" s="8" t="n"/>
    </row>
    <row r="925" ht="15.75" customHeight="1" s="18">
      <c r="C925" s="8" t="n"/>
    </row>
    <row r="926" ht="15.75" customHeight="1" s="18">
      <c r="C926" s="8" t="n"/>
    </row>
    <row r="927" ht="15.75" customHeight="1" s="18">
      <c r="C927" s="8" t="n"/>
    </row>
    <row r="928" ht="15.75" customHeight="1" s="18">
      <c r="C928" s="8" t="n"/>
    </row>
    <row r="929" ht="15.75" customHeight="1" s="18">
      <c r="C929" s="8" t="n"/>
    </row>
    <row r="930" ht="15.75" customHeight="1" s="18">
      <c r="C930" s="8" t="n"/>
    </row>
    <row r="931" ht="15.75" customHeight="1" s="18">
      <c r="C931" s="8" t="n"/>
    </row>
    <row r="932" ht="15.75" customHeight="1" s="18">
      <c r="C932" s="8" t="n"/>
    </row>
    <row r="933" ht="15.75" customHeight="1" s="18">
      <c r="C933" s="8" t="n"/>
    </row>
    <row r="934" ht="15.75" customHeight="1" s="18">
      <c r="C934" s="8" t="n"/>
    </row>
    <row r="935" ht="15.75" customHeight="1" s="18">
      <c r="C935" s="8" t="n"/>
    </row>
    <row r="936" ht="15.75" customHeight="1" s="18">
      <c r="C936" s="8" t="n"/>
    </row>
    <row r="937" ht="15.75" customHeight="1" s="18">
      <c r="C937" s="8" t="n"/>
    </row>
    <row r="938" ht="15.75" customHeight="1" s="18">
      <c r="C938" s="8" t="n"/>
    </row>
    <row r="939" ht="15.75" customHeight="1" s="18">
      <c r="C939" s="8" t="n"/>
    </row>
    <row r="940" ht="15.75" customHeight="1" s="18">
      <c r="C940" s="8" t="n"/>
    </row>
    <row r="941" ht="15.75" customHeight="1" s="18">
      <c r="C941" s="8" t="n"/>
    </row>
    <row r="942" ht="15.75" customHeight="1" s="18">
      <c r="C942" s="8" t="n"/>
    </row>
    <row r="943" ht="15.75" customHeight="1" s="18">
      <c r="C943" s="8" t="n"/>
    </row>
    <row r="944" ht="15.75" customHeight="1" s="18">
      <c r="C944" s="8" t="n"/>
    </row>
    <row r="945" ht="15.75" customHeight="1" s="18">
      <c r="C945" s="8" t="n"/>
    </row>
    <row r="946" ht="15.75" customHeight="1" s="18">
      <c r="C946" s="8" t="n"/>
    </row>
    <row r="947" ht="15.75" customHeight="1" s="18">
      <c r="C947" s="8" t="n"/>
    </row>
    <row r="948" ht="15.75" customHeight="1" s="18">
      <c r="C948" s="8" t="n"/>
    </row>
    <row r="949" ht="15.75" customHeight="1" s="18">
      <c r="C949" s="8" t="n"/>
    </row>
    <row r="950" ht="15.75" customHeight="1" s="18">
      <c r="C950" s="8" t="n"/>
    </row>
    <row r="951" ht="15.75" customHeight="1" s="18">
      <c r="C951" s="8" t="n"/>
    </row>
    <row r="952" ht="15.75" customHeight="1" s="18">
      <c r="C952" s="8" t="n"/>
    </row>
    <row r="953" ht="15.75" customHeight="1" s="18">
      <c r="C953" s="8" t="n"/>
    </row>
    <row r="954" ht="15.75" customHeight="1" s="18">
      <c r="C954" s="8" t="n"/>
    </row>
    <row r="955" ht="15.75" customHeight="1" s="18">
      <c r="C955" s="8" t="n"/>
    </row>
    <row r="956" ht="15.75" customHeight="1" s="18">
      <c r="C956" s="8" t="n"/>
    </row>
    <row r="957" ht="15.75" customHeight="1" s="18">
      <c r="C957" s="8" t="n"/>
    </row>
    <row r="958" ht="15.75" customHeight="1" s="18">
      <c r="C958" s="8" t="n"/>
    </row>
    <row r="959" ht="15.75" customHeight="1" s="18">
      <c r="C959" s="8" t="n"/>
    </row>
    <row r="960" ht="15.75" customHeight="1" s="18">
      <c r="C960" s="8" t="n"/>
    </row>
    <row r="961" ht="15.75" customHeight="1" s="18">
      <c r="C961" s="8" t="n"/>
    </row>
    <row r="962" ht="15.75" customHeight="1" s="18">
      <c r="C962" s="8" t="n"/>
    </row>
    <row r="963" ht="15.75" customHeight="1" s="18">
      <c r="C963" s="8" t="n"/>
    </row>
    <row r="964" ht="15.75" customHeight="1" s="18">
      <c r="C964" s="8" t="n"/>
    </row>
    <row r="965" ht="15.75" customHeight="1" s="18">
      <c r="C965" s="8" t="n"/>
    </row>
    <row r="966" ht="15.75" customHeight="1" s="18">
      <c r="C966" s="8" t="n"/>
    </row>
    <row r="967" ht="15.75" customHeight="1" s="18">
      <c r="C967" s="8" t="n"/>
    </row>
    <row r="968" ht="15.75" customHeight="1" s="18">
      <c r="C968" s="8" t="n"/>
    </row>
    <row r="969" ht="15.75" customHeight="1" s="18">
      <c r="C969" s="8" t="n"/>
    </row>
    <row r="970" ht="15.75" customHeight="1" s="18">
      <c r="C970" s="8" t="n"/>
    </row>
    <row r="971" ht="15.75" customHeight="1" s="18">
      <c r="C971" s="8" t="n"/>
    </row>
    <row r="972" ht="15.75" customHeight="1" s="18">
      <c r="C972" s="8" t="n"/>
    </row>
    <row r="973" ht="15.75" customHeight="1" s="18">
      <c r="C973" s="8" t="n"/>
    </row>
    <row r="974" ht="15.75" customHeight="1" s="18">
      <c r="C974" s="8" t="n"/>
    </row>
    <row r="975" ht="15.75" customHeight="1" s="18">
      <c r="C975" s="8" t="n"/>
    </row>
    <row r="976" ht="15.75" customHeight="1" s="18">
      <c r="C976" s="8" t="n"/>
    </row>
    <row r="977" ht="15.75" customHeight="1" s="18">
      <c r="C977" s="8" t="n"/>
    </row>
    <row r="978" ht="15.75" customHeight="1" s="18">
      <c r="C978" s="8" t="n"/>
    </row>
    <row r="979" ht="15.75" customHeight="1" s="18">
      <c r="C979" s="8" t="n"/>
    </row>
    <row r="980" ht="15.75" customHeight="1" s="18">
      <c r="C980" s="8" t="n"/>
    </row>
    <row r="981" ht="15.75" customHeight="1" s="18">
      <c r="C981" s="8" t="n"/>
    </row>
    <row r="982" ht="15.75" customHeight="1" s="18">
      <c r="C982" s="8" t="n"/>
    </row>
    <row r="983" ht="15.75" customHeight="1" s="18">
      <c r="C983" s="8" t="n"/>
    </row>
    <row r="984" ht="15.75" customHeight="1" s="18">
      <c r="C984" s="8" t="n"/>
    </row>
    <row r="985" ht="15.75" customHeight="1" s="18">
      <c r="C985" s="8" t="n"/>
    </row>
    <row r="986" ht="15.75" customHeight="1" s="18">
      <c r="C986" s="8" t="n"/>
    </row>
    <row r="987" ht="15.75" customHeight="1" s="18">
      <c r="C987" s="8" t="n"/>
    </row>
    <row r="988" ht="15.75" customHeight="1" s="18">
      <c r="C988" s="8" t="n"/>
    </row>
    <row r="989" ht="15.75" customHeight="1" s="18">
      <c r="C989" s="8" t="n"/>
    </row>
    <row r="990" ht="15.75" customHeight="1" s="18">
      <c r="C990" s="8" t="n"/>
    </row>
    <row r="991" ht="15.75" customHeight="1" s="18">
      <c r="C991" s="8" t="n"/>
    </row>
    <row r="992" ht="15.75" customHeight="1" s="18">
      <c r="C992" s="8" t="n"/>
    </row>
    <row r="993" ht="15.75" customHeight="1" s="18">
      <c r="C993" s="8" t="n"/>
    </row>
    <row r="994" ht="15.75" customHeight="1" s="18">
      <c r="C994" s="8" t="n"/>
    </row>
    <row r="995" ht="15.75" customHeight="1" s="18">
      <c r="C995" s="8" t="n"/>
    </row>
    <row r="996" ht="15.75" customHeight="1" s="18">
      <c r="C996" s="8" t="n"/>
    </row>
    <row r="997" ht="15.75" customHeight="1" s="18">
      <c r="C997" s="8" t="n"/>
    </row>
    <row r="998" ht="15.75" customHeight="1" s="18">
      <c r="C998" s="8" t="n"/>
    </row>
    <row r="999" ht="15.75" customHeight="1" s="18">
      <c r="C999" s="8" t="n"/>
    </row>
    <row r="1000" ht="15.75" customHeight="1" s="18">
      <c r="C1000" s="8" t="n"/>
    </row>
  </sheetData>
  <dataValidations count="1">
    <dataValidation sqref="C2:C1000" showDropDown="0" showInputMessage="0" showErrorMessage="0" allowBlank="1" type="list">
      <formula1>"DM,Call,Skool comment,Check-in,Email,Other"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4" customWidth="1" style="18" min="1" max="1"/>
    <col width="26" customWidth="1" style="18" min="2" max="2"/>
    <col width="16" customWidth="1" style="18" min="3" max="3"/>
    <col width="14" customWidth="1" style="18" min="4" max="4"/>
    <col width="24" customWidth="1" style="18" min="5" max="5"/>
    <col width="40" customWidth="1" style="18" min="6" max="6"/>
    <col width="8.710000000000001" customWidth="1" style="18" min="7" max="26"/>
  </cols>
  <sheetData>
    <row r="1" ht="30" customHeight="1" s="18">
      <c r="A1" s="6" t="inlineStr">
        <is>
          <t>Week of</t>
        </is>
      </c>
      <c r="B1" s="6" t="inlineStr">
        <is>
          <t>Member</t>
        </is>
      </c>
      <c r="C1" s="6" t="inlineStr">
        <is>
          <t>Active in Skool</t>
        </is>
      </c>
      <c r="D1" s="6" t="inlineStr">
        <is>
          <t>Attended call</t>
        </is>
      </c>
      <c r="E1" s="6" t="inlineStr">
        <is>
          <t>Did last week's commitment</t>
        </is>
      </c>
      <c r="F1" s="6" t="inlineStr">
        <is>
          <t>This week's commitment</t>
        </is>
      </c>
    </row>
    <row r="2">
      <c r="A2" s="5" t="n"/>
      <c r="C2" s="8" t="n"/>
      <c r="D2" s="8" t="n"/>
      <c r="E2" s="8" t="n"/>
    </row>
    <row r="3">
      <c r="A3" s="5" t="n"/>
      <c r="C3" s="8" t="n"/>
      <c r="D3" s="8" t="n"/>
      <c r="E3" s="8" t="n"/>
    </row>
    <row r="4">
      <c r="A4" s="5" t="n"/>
      <c r="C4" s="8" t="n"/>
      <c r="D4" s="8" t="n"/>
      <c r="E4" s="8" t="n"/>
    </row>
    <row r="5">
      <c r="A5" s="5" t="n"/>
      <c r="C5" s="8" t="n"/>
      <c r="D5" s="8" t="n"/>
      <c r="E5" s="8" t="n"/>
    </row>
    <row r="6">
      <c r="A6" s="5" t="n"/>
      <c r="C6" s="8" t="n"/>
      <c r="D6" s="8" t="n"/>
      <c r="E6" s="8" t="n"/>
    </row>
    <row r="7">
      <c r="A7" s="5" t="n"/>
      <c r="C7" s="8" t="n"/>
      <c r="D7" s="8" t="n"/>
      <c r="E7" s="8" t="n"/>
    </row>
    <row r="8">
      <c r="A8" s="5" t="n"/>
      <c r="C8" s="8" t="n"/>
      <c r="D8" s="8" t="n"/>
      <c r="E8" s="8" t="n"/>
    </row>
    <row r="9">
      <c r="A9" s="5" t="n"/>
      <c r="C9" s="8" t="n"/>
      <c r="D9" s="8" t="n"/>
      <c r="E9" s="8" t="n"/>
    </row>
    <row r="10">
      <c r="A10" s="5" t="n"/>
      <c r="C10" s="8" t="n"/>
      <c r="D10" s="8" t="n"/>
      <c r="E10" s="8" t="n"/>
    </row>
    <row r="11">
      <c r="A11" s="5" t="n"/>
      <c r="C11" s="8" t="n"/>
      <c r="D11" s="8" t="n"/>
      <c r="E11" s="8" t="n"/>
    </row>
    <row r="12">
      <c r="A12" s="5" t="n"/>
      <c r="C12" s="8" t="n"/>
      <c r="D12" s="8" t="n"/>
      <c r="E12" s="8" t="n"/>
    </row>
    <row r="13">
      <c r="A13" s="5" t="n"/>
      <c r="C13" s="8" t="n"/>
      <c r="D13" s="8" t="n"/>
      <c r="E13" s="8" t="n"/>
    </row>
    <row r="14">
      <c r="A14" s="5" t="n"/>
      <c r="C14" s="8" t="n"/>
      <c r="D14" s="8" t="n"/>
      <c r="E14" s="8" t="n"/>
    </row>
    <row r="15">
      <c r="A15" s="5" t="n"/>
      <c r="C15" s="8" t="n"/>
      <c r="D15" s="8" t="n"/>
      <c r="E15" s="8" t="n"/>
    </row>
    <row r="16">
      <c r="A16" s="5" t="n"/>
      <c r="C16" s="8" t="n"/>
      <c r="D16" s="8" t="n"/>
      <c r="E16" s="8" t="n"/>
    </row>
    <row r="17">
      <c r="A17" s="5" t="n"/>
      <c r="C17" s="8" t="n"/>
      <c r="D17" s="8" t="n"/>
      <c r="E17" s="8" t="n"/>
    </row>
    <row r="18">
      <c r="A18" s="5" t="n"/>
      <c r="C18" s="8" t="n"/>
      <c r="D18" s="8" t="n"/>
      <c r="E18" s="8" t="n"/>
    </row>
    <row r="19">
      <c r="A19" s="5" t="n"/>
      <c r="C19" s="8" t="n"/>
      <c r="D19" s="8" t="n"/>
      <c r="E19" s="8" t="n"/>
    </row>
    <row r="20">
      <c r="A20" s="5" t="n"/>
      <c r="C20" s="8" t="n"/>
      <c r="D20" s="8" t="n"/>
      <c r="E20" s="8" t="n"/>
    </row>
    <row r="21" ht="15.75" customHeight="1" s="18">
      <c r="A21" s="5" t="n"/>
      <c r="C21" s="8" t="n"/>
      <c r="D21" s="8" t="n"/>
      <c r="E21" s="8" t="n"/>
    </row>
    <row r="22" ht="15.75" customHeight="1" s="18">
      <c r="A22" s="5" t="n"/>
      <c r="C22" s="8" t="n"/>
      <c r="D22" s="8" t="n"/>
      <c r="E22" s="8" t="n"/>
    </row>
    <row r="23" ht="15.75" customHeight="1" s="18">
      <c r="A23" s="5" t="n"/>
      <c r="C23" s="8" t="n"/>
      <c r="D23" s="8" t="n"/>
      <c r="E23" s="8" t="n"/>
    </row>
    <row r="24" ht="15.75" customHeight="1" s="18">
      <c r="A24" s="5" t="n"/>
      <c r="C24" s="8" t="n"/>
      <c r="D24" s="8" t="n"/>
      <c r="E24" s="8" t="n"/>
    </row>
    <row r="25" ht="15.75" customHeight="1" s="18">
      <c r="A25" s="5" t="n"/>
      <c r="C25" s="8" t="n"/>
      <c r="D25" s="8" t="n"/>
      <c r="E25" s="8" t="n"/>
    </row>
    <row r="26" ht="15.75" customHeight="1" s="18">
      <c r="A26" s="5" t="n"/>
      <c r="C26" s="8" t="n"/>
      <c r="D26" s="8" t="n"/>
      <c r="E26" s="8" t="n"/>
    </row>
    <row r="27" ht="15.75" customHeight="1" s="18">
      <c r="A27" s="5" t="n"/>
      <c r="C27" s="8" t="n"/>
      <c r="D27" s="8" t="n"/>
      <c r="E27" s="8" t="n"/>
    </row>
    <row r="28" ht="15.75" customHeight="1" s="18">
      <c r="A28" s="5" t="n"/>
      <c r="C28" s="8" t="n"/>
      <c r="D28" s="8" t="n"/>
      <c r="E28" s="8" t="n"/>
    </row>
    <row r="29" ht="15.75" customHeight="1" s="18">
      <c r="A29" s="5" t="n"/>
      <c r="C29" s="8" t="n"/>
      <c r="D29" s="8" t="n"/>
      <c r="E29" s="8" t="n"/>
    </row>
    <row r="30" ht="15.75" customHeight="1" s="18">
      <c r="A30" s="5" t="n"/>
      <c r="C30" s="8" t="n"/>
      <c r="D30" s="8" t="n"/>
      <c r="E30" s="8" t="n"/>
    </row>
    <row r="31" ht="15.75" customHeight="1" s="18">
      <c r="A31" s="5" t="n"/>
      <c r="C31" s="8" t="n"/>
      <c r="D31" s="8" t="n"/>
      <c r="E31" s="8" t="n"/>
    </row>
    <row r="32" ht="15.75" customHeight="1" s="18">
      <c r="A32" s="5" t="n"/>
      <c r="C32" s="8" t="n"/>
      <c r="D32" s="8" t="n"/>
      <c r="E32" s="8" t="n"/>
    </row>
    <row r="33" ht="15.75" customHeight="1" s="18">
      <c r="A33" s="5" t="n"/>
      <c r="C33" s="8" t="n"/>
      <c r="D33" s="8" t="n"/>
      <c r="E33" s="8" t="n"/>
    </row>
    <row r="34" ht="15.75" customHeight="1" s="18">
      <c r="A34" s="5" t="n"/>
      <c r="C34" s="8" t="n"/>
      <c r="D34" s="8" t="n"/>
      <c r="E34" s="8" t="n"/>
    </row>
    <row r="35" ht="15.75" customHeight="1" s="18">
      <c r="A35" s="5" t="n"/>
      <c r="C35" s="8" t="n"/>
      <c r="D35" s="8" t="n"/>
      <c r="E35" s="8" t="n"/>
    </row>
    <row r="36" ht="15.75" customHeight="1" s="18">
      <c r="A36" s="5" t="n"/>
      <c r="C36" s="8" t="n"/>
      <c r="D36" s="8" t="n"/>
      <c r="E36" s="8" t="n"/>
    </row>
    <row r="37" ht="15.75" customHeight="1" s="18">
      <c r="A37" s="5" t="n"/>
      <c r="C37" s="8" t="n"/>
      <c r="D37" s="8" t="n"/>
      <c r="E37" s="8" t="n"/>
    </row>
    <row r="38" ht="15.75" customHeight="1" s="18">
      <c r="A38" s="5" t="n"/>
      <c r="C38" s="8" t="n"/>
      <c r="D38" s="8" t="n"/>
      <c r="E38" s="8" t="n"/>
    </row>
    <row r="39" ht="15.75" customHeight="1" s="18">
      <c r="A39" s="5" t="n"/>
      <c r="C39" s="8" t="n"/>
      <c r="D39" s="8" t="n"/>
      <c r="E39" s="8" t="n"/>
    </row>
    <row r="40" ht="15.75" customHeight="1" s="18">
      <c r="A40" s="5" t="n"/>
      <c r="C40" s="8" t="n"/>
      <c r="D40" s="8" t="n"/>
      <c r="E40" s="8" t="n"/>
    </row>
    <row r="41" ht="15.75" customHeight="1" s="18">
      <c r="A41" s="5" t="n"/>
      <c r="C41" s="8" t="n"/>
      <c r="D41" s="8" t="n"/>
      <c r="E41" s="8" t="n"/>
    </row>
    <row r="42" ht="15.75" customHeight="1" s="18">
      <c r="A42" s="5" t="n"/>
      <c r="C42" s="8" t="n"/>
      <c r="D42" s="8" t="n"/>
      <c r="E42" s="8" t="n"/>
    </row>
    <row r="43" ht="15.75" customHeight="1" s="18">
      <c r="A43" s="5" t="n"/>
      <c r="C43" s="8" t="n"/>
      <c r="D43" s="8" t="n"/>
      <c r="E43" s="8" t="n"/>
    </row>
    <row r="44" ht="15.75" customHeight="1" s="18">
      <c r="A44" s="5" t="n"/>
      <c r="C44" s="8" t="n"/>
      <c r="D44" s="8" t="n"/>
      <c r="E44" s="8" t="n"/>
    </row>
    <row r="45" ht="15.75" customHeight="1" s="18">
      <c r="A45" s="5" t="n"/>
      <c r="C45" s="8" t="n"/>
      <c r="D45" s="8" t="n"/>
      <c r="E45" s="8" t="n"/>
    </row>
    <row r="46" ht="15.75" customHeight="1" s="18">
      <c r="A46" s="5" t="n"/>
      <c r="C46" s="8" t="n"/>
      <c r="D46" s="8" t="n"/>
      <c r="E46" s="8" t="n"/>
    </row>
    <row r="47" ht="15.75" customHeight="1" s="18">
      <c r="A47" s="5" t="n"/>
      <c r="C47" s="8" t="n"/>
      <c r="D47" s="8" t="n"/>
      <c r="E47" s="8" t="n"/>
    </row>
    <row r="48" ht="15.75" customHeight="1" s="18">
      <c r="A48" s="5" t="n"/>
      <c r="C48" s="8" t="n"/>
      <c r="D48" s="8" t="n"/>
      <c r="E48" s="8" t="n"/>
    </row>
    <row r="49" ht="15.75" customHeight="1" s="18">
      <c r="A49" s="5" t="n"/>
      <c r="C49" s="8" t="n"/>
      <c r="D49" s="8" t="n"/>
      <c r="E49" s="8" t="n"/>
    </row>
    <row r="50" ht="15.75" customHeight="1" s="18">
      <c r="A50" s="5" t="n"/>
      <c r="C50" s="8" t="n"/>
      <c r="D50" s="8" t="n"/>
      <c r="E50" s="8" t="n"/>
    </row>
    <row r="51" ht="15.75" customHeight="1" s="18">
      <c r="A51" s="5" t="n"/>
      <c r="C51" s="8" t="n"/>
      <c r="D51" s="8" t="n"/>
      <c r="E51" s="8" t="n"/>
    </row>
    <row r="52" ht="15.75" customHeight="1" s="18">
      <c r="A52" s="5" t="n"/>
      <c r="C52" s="8" t="n"/>
      <c r="D52" s="8" t="n"/>
      <c r="E52" s="8" t="n"/>
    </row>
    <row r="53" ht="15.75" customHeight="1" s="18">
      <c r="A53" s="5" t="n"/>
      <c r="C53" s="8" t="n"/>
      <c r="D53" s="8" t="n"/>
      <c r="E53" s="8" t="n"/>
    </row>
    <row r="54" ht="15.75" customHeight="1" s="18">
      <c r="A54" s="5" t="n"/>
      <c r="C54" s="8" t="n"/>
      <c r="D54" s="8" t="n"/>
      <c r="E54" s="8" t="n"/>
    </row>
    <row r="55" ht="15.75" customHeight="1" s="18">
      <c r="A55" s="5" t="n"/>
      <c r="C55" s="8" t="n"/>
      <c r="D55" s="8" t="n"/>
      <c r="E55" s="8" t="n"/>
    </row>
    <row r="56" ht="15.75" customHeight="1" s="18">
      <c r="A56" s="5" t="n"/>
      <c r="C56" s="8" t="n"/>
      <c r="D56" s="8" t="n"/>
      <c r="E56" s="8" t="n"/>
    </row>
    <row r="57" ht="15.75" customHeight="1" s="18">
      <c r="A57" s="5" t="n"/>
      <c r="C57" s="8" t="n"/>
      <c r="D57" s="8" t="n"/>
      <c r="E57" s="8" t="n"/>
    </row>
    <row r="58" ht="15.75" customHeight="1" s="18">
      <c r="A58" s="5" t="n"/>
      <c r="C58" s="8" t="n"/>
      <c r="D58" s="8" t="n"/>
      <c r="E58" s="8" t="n"/>
    </row>
    <row r="59" ht="15.75" customHeight="1" s="18">
      <c r="A59" s="5" t="n"/>
      <c r="C59" s="8" t="n"/>
      <c r="D59" s="8" t="n"/>
      <c r="E59" s="8" t="n"/>
    </row>
    <row r="60" ht="15.75" customHeight="1" s="18">
      <c r="A60" s="5" t="n"/>
      <c r="C60" s="8" t="n"/>
      <c r="D60" s="8" t="n"/>
      <c r="E60" s="8" t="n"/>
    </row>
    <row r="61" ht="15.75" customHeight="1" s="18">
      <c r="A61" s="5" t="n"/>
      <c r="C61" s="8" t="n"/>
      <c r="D61" s="8" t="n"/>
      <c r="E61" s="8" t="n"/>
    </row>
    <row r="62" ht="15.75" customHeight="1" s="18">
      <c r="A62" s="5" t="n"/>
      <c r="C62" s="8" t="n"/>
      <c r="D62" s="8" t="n"/>
      <c r="E62" s="8" t="n"/>
    </row>
    <row r="63" ht="15.75" customHeight="1" s="18">
      <c r="A63" s="5" t="n"/>
      <c r="C63" s="8" t="n"/>
      <c r="D63" s="8" t="n"/>
      <c r="E63" s="8" t="n"/>
    </row>
    <row r="64" ht="15.75" customHeight="1" s="18">
      <c r="A64" s="5" t="n"/>
      <c r="C64" s="8" t="n"/>
      <c r="D64" s="8" t="n"/>
      <c r="E64" s="8" t="n"/>
    </row>
    <row r="65" ht="15.75" customHeight="1" s="18">
      <c r="A65" s="5" t="n"/>
      <c r="C65" s="8" t="n"/>
      <c r="D65" s="8" t="n"/>
      <c r="E65" s="8" t="n"/>
    </row>
    <row r="66" ht="15.75" customHeight="1" s="18">
      <c r="A66" s="5" t="n"/>
      <c r="C66" s="8" t="n"/>
      <c r="D66" s="8" t="n"/>
      <c r="E66" s="8" t="n"/>
    </row>
    <row r="67" ht="15.75" customHeight="1" s="18">
      <c r="A67" s="5" t="n"/>
      <c r="C67" s="8" t="n"/>
      <c r="D67" s="8" t="n"/>
      <c r="E67" s="8" t="n"/>
    </row>
    <row r="68" ht="15.75" customHeight="1" s="18">
      <c r="A68" s="5" t="n"/>
      <c r="C68" s="8" t="n"/>
      <c r="D68" s="8" t="n"/>
      <c r="E68" s="8" t="n"/>
    </row>
    <row r="69" ht="15.75" customHeight="1" s="18">
      <c r="A69" s="5" t="n"/>
      <c r="C69" s="8" t="n"/>
      <c r="D69" s="8" t="n"/>
      <c r="E69" s="8" t="n"/>
    </row>
    <row r="70" ht="15.75" customHeight="1" s="18">
      <c r="A70" s="5" t="n"/>
      <c r="C70" s="8" t="n"/>
      <c r="D70" s="8" t="n"/>
      <c r="E70" s="8" t="n"/>
    </row>
    <row r="71" ht="15.75" customHeight="1" s="18">
      <c r="A71" s="5" t="n"/>
      <c r="C71" s="8" t="n"/>
      <c r="D71" s="8" t="n"/>
      <c r="E71" s="8" t="n"/>
    </row>
    <row r="72" ht="15.75" customHeight="1" s="18">
      <c r="A72" s="5" t="n"/>
      <c r="C72" s="8" t="n"/>
      <c r="D72" s="8" t="n"/>
      <c r="E72" s="8" t="n"/>
    </row>
    <row r="73" ht="15.75" customHeight="1" s="18">
      <c r="A73" s="5" t="n"/>
      <c r="C73" s="8" t="n"/>
      <c r="D73" s="8" t="n"/>
      <c r="E73" s="8" t="n"/>
    </row>
    <row r="74" ht="15.75" customHeight="1" s="18">
      <c r="A74" s="5" t="n"/>
      <c r="C74" s="8" t="n"/>
      <c r="D74" s="8" t="n"/>
      <c r="E74" s="8" t="n"/>
    </row>
    <row r="75" ht="15.75" customHeight="1" s="18">
      <c r="A75" s="5" t="n"/>
      <c r="C75" s="8" t="n"/>
      <c r="D75" s="8" t="n"/>
      <c r="E75" s="8" t="n"/>
    </row>
    <row r="76" ht="15.75" customHeight="1" s="18">
      <c r="A76" s="5" t="n"/>
      <c r="C76" s="8" t="n"/>
      <c r="D76" s="8" t="n"/>
      <c r="E76" s="8" t="n"/>
    </row>
    <row r="77" ht="15.75" customHeight="1" s="18">
      <c r="A77" s="5" t="n"/>
      <c r="C77" s="8" t="n"/>
      <c r="D77" s="8" t="n"/>
      <c r="E77" s="8" t="n"/>
    </row>
    <row r="78" ht="15.75" customHeight="1" s="18">
      <c r="A78" s="5" t="n"/>
      <c r="C78" s="8" t="n"/>
      <c r="D78" s="8" t="n"/>
      <c r="E78" s="8" t="n"/>
    </row>
    <row r="79" ht="15.75" customHeight="1" s="18">
      <c r="A79" s="5" t="n"/>
      <c r="C79" s="8" t="n"/>
      <c r="D79" s="8" t="n"/>
      <c r="E79" s="8" t="n"/>
    </row>
    <row r="80" ht="15.75" customHeight="1" s="18">
      <c r="A80" s="5" t="n"/>
      <c r="C80" s="8" t="n"/>
      <c r="D80" s="8" t="n"/>
      <c r="E80" s="8" t="n"/>
    </row>
    <row r="81" ht="15.75" customHeight="1" s="18">
      <c r="A81" s="5" t="n"/>
      <c r="C81" s="8" t="n"/>
      <c r="D81" s="8" t="n"/>
      <c r="E81" s="8" t="n"/>
    </row>
    <row r="82" ht="15.75" customHeight="1" s="18">
      <c r="A82" s="5" t="n"/>
      <c r="C82" s="8" t="n"/>
      <c r="D82" s="8" t="n"/>
      <c r="E82" s="8" t="n"/>
    </row>
    <row r="83" ht="15.75" customHeight="1" s="18">
      <c r="A83" s="5" t="n"/>
      <c r="C83" s="8" t="n"/>
      <c r="D83" s="8" t="n"/>
      <c r="E83" s="8" t="n"/>
    </row>
    <row r="84" ht="15.75" customHeight="1" s="18">
      <c r="A84" s="5" t="n"/>
      <c r="C84" s="8" t="n"/>
      <c r="D84" s="8" t="n"/>
      <c r="E84" s="8" t="n"/>
    </row>
    <row r="85" ht="15.75" customHeight="1" s="18">
      <c r="A85" s="5" t="n"/>
      <c r="C85" s="8" t="n"/>
      <c r="D85" s="8" t="n"/>
      <c r="E85" s="8" t="n"/>
    </row>
    <row r="86" ht="15.75" customHeight="1" s="18">
      <c r="A86" s="5" t="n"/>
      <c r="C86" s="8" t="n"/>
      <c r="D86" s="8" t="n"/>
      <c r="E86" s="8" t="n"/>
    </row>
    <row r="87" ht="15.75" customHeight="1" s="18">
      <c r="A87" s="5" t="n"/>
      <c r="C87" s="8" t="n"/>
      <c r="D87" s="8" t="n"/>
      <c r="E87" s="8" t="n"/>
    </row>
    <row r="88" ht="15.75" customHeight="1" s="18">
      <c r="A88" s="5" t="n"/>
      <c r="C88" s="8" t="n"/>
      <c r="D88" s="8" t="n"/>
      <c r="E88" s="8" t="n"/>
    </row>
    <row r="89" ht="15.75" customHeight="1" s="18">
      <c r="A89" s="5" t="n"/>
      <c r="C89" s="8" t="n"/>
      <c r="D89" s="8" t="n"/>
      <c r="E89" s="8" t="n"/>
    </row>
    <row r="90" ht="15.75" customHeight="1" s="18">
      <c r="A90" s="5" t="n"/>
      <c r="C90" s="8" t="n"/>
      <c r="D90" s="8" t="n"/>
      <c r="E90" s="8" t="n"/>
    </row>
    <row r="91" ht="15.75" customHeight="1" s="18">
      <c r="A91" s="5" t="n"/>
      <c r="C91" s="8" t="n"/>
      <c r="D91" s="8" t="n"/>
      <c r="E91" s="8" t="n"/>
    </row>
    <row r="92" ht="15.75" customHeight="1" s="18">
      <c r="A92" s="5" t="n"/>
      <c r="C92" s="8" t="n"/>
      <c r="D92" s="8" t="n"/>
      <c r="E92" s="8" t="n"/>
    </row>
    <row r="93" ht="15.75" customHeight="1" s="18">
      <c r="A93" s="5" t="n"/>
      <c r="C93" s="8" t="n"/>
      <c r="D93" s="8" t="n"/>
      <c r="E93" s="8" t="n"/>
    </row>
    <row r="94" ht="15.75" customHeight="1" s="18">
      <c r="A94" s="5" t="n"/>
      <c r="C94" s="8" t="n"/>
      <c r="D94" s="8" t="n"/>
      <c r="E94" s="8" t="n"/>
    </row>
    <row r="95" ht="15.75" customHeight="1" s="18">
      <c r="A95" s="5" t="n"/>
      <c r="C95" s="8" t="n"/>
      <c r="D95" s="8" t="n"/>
      <c r="E95" s="8" t="n"/>
    </row>
    <row r="96" ht="15.75" customHeight="1" s="18">
      <c r="A96" s="5" t="n"/>
      <c r="C96" s="8" t="n"/>
      <c r="D96" s="8" t="n"/>
      <c r="E96" s="8" t="n"/>
    </row>
    <row r="97" ht="15.75" customHeight="1" s="18">
      <c r="A97" s="5" t="n"/>
      <c r="C97" s="8" t="n"/>
      <c r="D97" s="8" t="n"/>
      <c r="E97" s="8" t="n"/>
    </row>
    <row r="98" ht="15.75" customHeight="1" s="18">
      <c r="A98" s="5" t="n"/>
      <c r="C98" s="8" t="n"/>
      <c r="D98" s="8" t="n"/>
      <c r="E98" s="8" t="n"/>
    </row>
    <row r="99" ht="15.75" customHeight="1" s="18">
      <c r="A99" s="5" t="n"/>
      <c r="C99" s="8" t="n"/>
      <c r="D99" s="8" t="n"/>
      <c r="E99" s="8" t="n"/>
    </row>
    <row r="100" ht="15.75" customHeight="1" s="18">
      <c r="A100" s="5" t="n"/>
      <c r="C100" s="8" t="n"/>
      <c r="D100" s="8" t="n"/>
      <c r="E100" s="8" t="n"/>
    </row>
    <row r="101" ht="15.75" customHeight="1" s="18">
      <c r="A101" s="5" t="n"/>
      <c r="C101" s="8" t="n"/>
      <c r="D101" s="8" t="n"/>
      <c r="E101" s="8" t="n"/>
    </row>
    <row r="102" ht="15.75" customHeight="1" s="18">
      <c r="A102" s="5" t="n"/>
      <c r="C102" s="8" t="n"/>
      <c r="D102" s="8" t="n"/>
      <c r="E102" s="8" t="n"/>
    </row>
    <row r="103" ht="15.75" customHeight="1" s="18">
      <c r="A103" s="5" t="n"/>
      <c r="C103" s="8" t="n"/>
      <c r="D103" s="8" t="n"/>
      <c r="E103" s="8" t="n"/>
    </row>
    <row r="104" ht="15.75" customHeight="1" s="18">
      <c r="A104" s="5" t="n"/>
      <c r="C104" s="8" t="n"/>
      <c r="D104" s="8" t="n"/>
      <c r="E104" s="8" t="n"/>
    </row>
    <row r="105" ht="15.75" customHeight="1" s="18">
      <c r="A105" s="5" t="n"/>
      <c r="C105" s="8" t="n"/>
      <c r="D105" s="8" t="n"/>
      <c r="E105" s="8" t="n"/>
    </row>
    <row r="106" ht="15.75" customHeight="1" s="18">
      <c r="A106" s="5" t="n"/>
      <c r="C106" s="8" t="n"/>
      <c r="D106" s="8" t="n"/>
      <c r="E106" s="8" t="n"/>
    </row>
    <row r="107" ht="15.75" customHeight="1" s="18">
      <c r="A107" s="5" t="n"/>
      <c r="C107" s="8" t="n"/>
      <c r="D107" s="8" t="n"/>
      <c r="E107" s="8" t="n"/>
    </row>
    <row r="108" ht="15.75" customHeight="1" s="18">
      <c r="A108" s="5" t="n"/>
      <c r="C108" s="8" t="n"/>
      <c r="D108" s="8" t="n"/>
      <c r="E108" s="8" t="n"/>
    </row>
    <row r="109" ht="15.75" customHeight="1" s="18">
      <c r="A109" s="5" t="n"/>
      <c r="C109" s="8" t="n"/>
      <c r="D109" s="8" t="n"/>
      <c r="E109" s="8" t="n"/>
    </row>
    <row r="110" ht="15.75" customHeight="1" s="18">
      <c r="A110" s="5" t="n"/>
      <c r="C110" s="8" t="n"/>
      <c r="D110" s="8" t="n"/>
      <c r="E110" s="8" t="n"/>
    </row>
    <row r="111" ht="15.75" customHeight="1" s="18">
      <c r="A111" s="5" t="n"/>
      <c r="C111" s="8" t="n"/>
      <c r="D111" s="8" t="n"/>
      <c r="E111" s="8" t="n"/>
    </row>
    <row r="112" ht="15.75" customHeight="1" s="18">
      <c r="A112" s="5" t="n"/>
      <c r="C112" s="8" t="n"/>
      <c r="D112" s="8" t="n"/>
      <c r="E112" s="8" t="n"/>
    </row>
    <row r="113" ht="15.75" customHeight="1" s="18">
      <c r="A113" s="5" t="n"/>
      <c r="C113" s="8" t="n"/>
      <c r="D113" s="8" t="n"/>
      <c r="E113" s="8" t="n"/>
    </row>
    <row r="114" ht="15.75" customHeight="1" s="18">
      <c r="A114" s="5" t="n"/>
      <c r="C114" s="8" t="n"/>
      <c r="D114" s="8" t="n"/>
      <c r="E114" s="8" t="n"/>
    </row>
    <row r="115" ht="15.75" customHeight="1" s="18">
      <c r="A115" s="5" t="n"/>
      <c r="C115" s="8" t="n"/>
      <c r="D115" s="8" t="n"/>
      <c r="E115" s="8" t="n"/>
    </row>
    <row r="116" ht="15.75" customHeight="1" s="18">
      <c r="A116" s="5" t="n"/>
      <c r="C116" s="8" t="n"/>
      <c r="D116" s="8" t="n"/>
      <c r="E116" s="8" t="n"/>
    </row>
    <row r="117" ht="15.75" customHeight="1" s="18">
      <c r="A117" s="5" t="n"/>
      <c r="C117" s="8" t="n"/>
      <c r="D117" s="8" t="n"/>
      <c r="E117" s="8" t="n"/>
    </row>
    <row r="118" ht="15.75" customHeight="1" s="18">
      <c r="A118" s="5" t="n"/>
      <c r="C118" s="8" t="n"/>
      <c r="D118" s="8" t="n"/>
      <c r="E118" s="8" t="n"/>
    </row>
    <row r="119" ht="15.75" customHeight="1" s="18">
      <c r="A119" s="5" t="n"/>
      <c r="C119" s="8" t="n"/>
      <c r="D119" s="8" t="n"/>
      <c r="E119" s="8" t="n"/>
    </row>
    <row r="120" ht="15.75" customHeight="1" s="18">
      <c r="A120" s="5" t="n"/>
      <c r="C120" s="8" t="n"/>
      <c r="D120" s="8" t="n"/>
      <c r="E120" s="8" t="n"/>
    </row>
    <row r="121" ht="15.75" customHeight="1" s="18">
      <c r="A121" s="5" t="n"/>
      <c r="C121" s="8" t="n"/>
      <c r="D121" s="8" t="n"/>
      <c r="E121" s="8" t="n"/>
    </row>
    <row r="122" ht="15.75" customHeight="1" s="18">
      <c r="A122" s="5" t="n"/>
      <c r="C122" s="8" t="n"/>
      <c r="D122" s="8" t="n"/>
      <c r="E122" s="8" t="n"/>
    </row>
    <row r="123" ht="15.75" customHeight="1" s="18">
      <c r="A123" s="5" t="n"/>
      <c r="C123" s="8" t="n"/>
      <c r="D123" s="8" t="n"/>
      <c r="E123" s="8" t="n"/>
    </row>
    <row r="124" ht="15.75" customHeight="1" s="18">
      <c r="A124" s="5" t="n"/>
      <c r="C124" s="8" t="n"/>
      <c r="D124" s="8" t="n"/>
      <c r="E124" s="8" t="n"/>
    </row>
    <row r="125" ht="15.75" customHeight="1" s="18">
      <c r="A125" s="5" t="n"/>
      <c r="C125" s="8" t="n"/>
      <c r="D125" s="8" t="n"/>
      <c r="E125" s="8" t="n"/>
    </row>
    <row r="126" ht="15.75" customHeight="1" s="18">
      <c r="A126" s="5" t="n"/>
      <c r="C126" s="8" t="n"/>
      <c r="D126" s="8" t="n"/>
      <c r="E126" s="8" t="n"/>
    </row>
    <row r="127" ht="15.75" customHeight="1" s="18">
      <c r="A127" s="5" t="n"/>
      <c r="C127" s="8" t="n"/>
      <c r="D127" s="8" t="n"/>
      <c r="E127" s="8" t="n"/>
    </row>
    <row r="128" ht="15.75" customHeight="1" s="18">
      <c r="A128" s="5" t="n"/>
      <c r="C128" s="8" t="n"/>
      <c r="D128" s="8" t="n"/>
      <c r="E128" s="8" t="n"/>
    </row>
    <row r="129" ht="15.75" customHeight="1" s="18">
      <c r="A129" s="5" t="n"/>
      <c r="C129" s="8" t="n"/>
      <c r="D129" s="8" t="n"/>
      <c r="E129" s="8" t="n"/>
    </row>
    <row r="130" ht="15.75" customHeight="1" s="18">
      <c r="A130" s="5" t="n"/>
      <c r="C130" s="8" t="n"/>
      <c r="D130" s="8" t="n"/>
      <c r="E130" s="8" t="n"/>
    </row>
    <row r="131" ht="15.75" customHeight="1" s="18">
      <c r="A131" s="5" t="n"/>
      <c r="C131" s="8" t="n"/>
      <c r="D131" s="8" t="n"/>
      <c r="E131" s="8" t="n"/>
    </row>
    <row r="132" ht="15.75" customHeight="1" s="18">
      <c r="A132" s="5" t="n"/>
      <c r="C132" s="8" t="n"/>
      <c r="D132" s="8" t="n"/>
      <c r="E132" s="8" t="n"/>
    </row>
    <row r="133" ht="15.75" customHeight="1" s="18">
      <c r="A133" s="5" t="n"/>
      <c r="C133" s="8" t="n"/>
      <c r="D133" s="8" t="n"/>
      <c r="E133" s="8" t="n"/>
    </row>
    <row r="134" ht="15.75" customHeight="1" s="18">
      <c r="A134" s="5" t="n"/>
      <c r="C134" s="8" t="n"/>
      <c r="D134" s="8" t="n"/>
      <c r="E134" s="8" t="n"/>
    </row>
    <row r="135" ht="15.75" customHeight="1" s="18">
      <c r="A135" s="5" t="n"/>
      <c r="C135" s="8" t="n"/>
      <c r="D135" s="8" t="n"/>
      <c r="E135" s="8" t="n"/>
    </row>
    <row r="136" ht="15.75" customHeight="1" s="18">
      <c r="A136" s="5" t="n"/>
      <c r="C136" s="8" t="n"/>
      <c r="D136" s="8" t="n"/>
      <c r="E136" s="8" t="n"/>
    </row>
    <row r="137" ht="15.75" customHeight="1" s="18">
      <c r="A137" s="5" t="n"/>
      <c r="C137" s="8" t="n"/>
      <c r="D137" s="8" t="n"/>
      <c r="E137" s="8" t="n"/>
    </row>
    <row r="138" ht="15.75" customHeight="1" s="18">
      <c r="A138" s="5" t="n"/>
      <c r="C138" s="8" t="n"/>
      <c r="D138" s="8" t="n"/>
      <c r="E138" s="8" t="n"/>
    </row>
    <row r="139" ht="15.75" customHeight="1" s="18">
      <c r="A139" s="5" t="n"/>
      <c r="C139" s="8" t="n"/>
      <c r="D139" s="8" t="n"/>
      <c r="E139" s="8" t="n"/>
    </row>
    <row r="140" ht="15.75" customHeight="1" s="18">
      <c r="A140" s="5" t="n"/>
      <c r="C140" s="8" t="n"/>
      <c r="D140" s="8" t="n"/>
      <c r="E140" s="8" t="n"/>
    </row>
    <row r="141" ht="15.75" customHeight="1" s="18">
      <c r="A141" s="5" t="n"/>
      <c r="C141" s="8" t="n"/>
      <c r="D141" s="8" t="n"/>
      <c r="E141" s="8" t="n"/>
    </row>
    <row r="142" ht="15.75" customHeight="1" s="18">
      <c r="A142" s="5" t="n"/>
      <c r="C142" s="8" t="n"/>
      <c r="D142" s="8" t="n"/>
      <c r="E142" s="8" t="n"/>
    </row>
    <row r="143" ht="15.75" customHeight="1" s="18">
      <c r="A143" s="5" t="n"/>
      <c r="C143" s="8" t="n"/>
      <c r="D143" s="8" t="n"/>
      <c r="E143" s="8" t="n"/>
    </row>
    <row r="144" ht="15.75" customHeight="1" s="18">
      <c r="A144" s="5" t="n"/>
      <c r="C144" s="8" t="n"/>
      <c r="D144" s="8" t="n"/>
      <c r="E144" s="8" t="n"/>
    </row>
    <row r="145" ht="15.75" customHeight="1" s="18">
      <c r="A145" s="5" t="n"/>
      <c r="C145" s="8" t="n"/>
      <c r="D145" s="8" t="n"/>
      <c r="E145" s="8" t="n"/>
    </row>
    <row r="146" ht="15.75" customHeight="1" s="18">
      <c r="A146" s="5" t="n"/>
      <c r="C146" s="8" t="n"/>
      <c r="D146" s="8" t="n"/>
      <c r="E146" s="8" t="n"/>
    </row>
    <row r="147" ht="15.75" customHeight="1" s="18">
      <c r="A147" s="5" t="n"/>
      <c r="C147" s="8" t="n"/>
      <c r="D147" s="8" t="n"/>
      <c r="E147" s="8" t="n"/>
    </row>
    <row r="148" ht="15.75" customHeight="1" s="18">
      <c r="A148" s="5" t="n"/>
      <c r="C148" s="8" t="n"/>
      <c r="D148" s="8" t="n"/>
      <c r="E148" s="8" t="n"/>
    </row>
    <row r="149" ht="15.75" customHeight="1" s="18">
      <c r="A149" s="5" t="n"/>
      <c r="C149" s="8" t="n"/>
      <c r="D149" s="8" t="n"/>
      <c r="E149" s="8" t="n"/>
    </row>
    <row r="150" ht="15.75" customHeight="1" s="18">
      <c r="A150" s="5" t="n"/>
      <c r="C150" s="8" t="n"/>
      <c r="D150" s="8" t="n"/>
      <c r="E150" s="8" t="n"/>
    </row>
    <row r="151" ht="15.75" customHeight="1" s="18">
      <c r="A151" s="5" t="n"/>
      <c r="C151" s="8" t="n"/>
      <c r="D151" s="8" t="n"/>
      <c r="E151" s="8" t="n"/>
    </row>
    <row r="152" ht="15.75" customHeight="1" s="18">
      <c r="A152" s="5" t="n"/>
      <c r="C152" s="8" t="n"/>
      <c r="D152" s="8" t="n"/>
      <c r="E152" s="8" t="n"/>
    </row>
    <row r="153" ht="15.75" customHeight="1" s="18">
      <c r="A153" s="5" t="n"/>
      <c r="C153" s="8" t="n"/>
      <c r="D153" s="8" t="n"/>
      <c r="E153" s="8" t="n"/>
    </row>
    <row r="154" ht="15.75" customHeight="1" s="18">
      <c r="A154" s="5" t="n"/>
      <c r="C154" s="8" t="n"/>
      <c r="D154" s="8" t="n"/>
      <c r="E154" s="8" t="n"/>
    </row>
    <row r="155" ht="15.75" customHeight="1" s="18">
      <c r="A155" s="5" t="n"/>
      <c r="C155" s="8" t="n"/>
      <c r="D155" s="8" t="n"/>
      <c r="E155" s="8" t="n"/>
    </row>
    <row r="156" ht="15.75" customHeight="1" s="18">
      <c r="A156" s="5" t="n"/>
      <c r="C156" s="8" t="n"/>
      <c r="D156" s="8" t="n"/>
      <c r="E156" s="8" t="n"/>
    </row>
    <row r="157" ht="15.75" customHeight="1" s="18">
      <c r="A157" s="5" t="n"/>
      <c r="C157" s="8" t="n"/>
      <c r="D157" s="8" t="n"/>
      <c r="E157" s="8" t="n"/>
    </row>
    <row r="158" ht="15.75" customHeight="1" s="18">
      <c r="A158" s="5" t="n"/>
      <c r="C158" s="8" t="n"/>
      <c r="D158" s="8" t="n"/>
      <c r="E158" s="8" t="n"/>
    </row>
    <row r="159" ht="15.75" customHeight="1" s="18">
      <c r="A159" s="5" t="n"/>
      <c r="C159" s="8" t="n"/>
      <c r="D159" s="8" t="n"/>
      <c r="E159" s="8" t="n"/>
    </row>
    <row r="160" ht="15.75" customHeight="1" s="18">
      <c r="A160" s="5" t="n"/>
      <c r="C160" s="8" t="n"/>
      <c r="D160" s="8" t="n"/>
      <c r="E160" s="8" t="n"/>
    </row>
    <row r="161" ht="15.75" customHeight="1" s="18">
      <c r="A161" s="5" t="n"/>
      <c r="C161" s="8" t="n"/>
      <c r="D161" s="8" t="n"/>
      <c r="E161" s="8" t="n"/>
    </row>
    <row r="162" ht="15.75" customHeight="1" s="18">
      <c r="A162" s="5" t="n"/>
      <c r="C162" s="8" t="n"/>
      <c r="D162" s="8" t="n"/>
      <c r="E162" s="8" t="n"/>
    </row>
    <row r="163" ht="15.75" customHeight="1" s="18">
      <c r="A163" s="5" t="n"/>
      <c r="C163" s="8" t="n"/>
      <c r="D163" s="8" t="n"/>
      <c r="E163" s="8" t="n"/>
    </row>
    <row r="164" ht="15.75" customHeight="1" s="18">
      <c r="A164" s="5" t="n"/>
      <c r="C164" s="8" t="n"/>
      <c r="D164" s="8" t="n"/>
      <c r="E164" s="8" t="n"/>
    </row>
    <row r="165" ht="15.75" customHeight="1" s="18">
      <c r="A165" s="5" t="n"/>
      <c r="C165" s="8" t="n"/>
      <c r="D165" s="8" t="n"/>
      <c r="E165" s="8" t="n"/>
    </row>
    <row r="166" ht="15.75" customHeight="1" s="18">
      <c r="A166" s="5" t="n"/>
      <c r="C166" s="8" t="n"/>
      <c r="D166" s="8" t="n"/>
      <c r="E166" s="8" t="n"/>
    </row>
    <row r="167" ht="15.75" customHeight="1" s="18">
      <c r="A167" s="5" t="n"/>
      <c r="C167" s="8" t="n"/>
      <c r="D167" s="8" t="n"/>
      <c r="E167" s="8" t="n"/>
    </row>
    <row r="168" ht="15.75" customHeight="1" s="18">
      <c r="A168" s="5" t="n"/>
      <c r="C168" s="8" t="n"/>
      <c r="D168" s="8" t="n"/>
      <c r="E168" s="8" t="n"/>
    </row>
    <row r="169" ht="15.75" customHeight="1" s="18">
      <c r="A169" s="5" t="n"/>
      <c r="C169" s="8" t="n"/>
      <c r="D169" s="8" t="n"/>
      <c r="E169" s="8" t="n"/>
    </row>
    <row r="170" ht="15.75" customHeight="1" s="18">
      <c r="A170" s="5" t="n"/>
      <c r="C170" s="8" t="n"/>
      <c r="D170" s="8" t="n"/>
      <c r="E170" s="8" t="n"/>
    </row>
    <row r="171" ht="15.75" customHeight="1" s="18">
      <c r="A171" s="5" t="n"/>
      <c r="C171" s="8" t="n"/>
      <c r="D171" s="8" t="n"/>
      <c r="E171" s="8" t="n"/>
    </row>
    <row r="172" ht="15.75" customHeight="1" s="18">
      <c r="A172" s="5" t="n"/>
      <c r="C172" s="8" t="n"/>
      <c r="D172" s="8" t="n"/>
      <c r="E172" s="8" t="n"/>
    </row>
    <row r="173" ht="15.75" customHeight="1" s="18">
      <c r="A173" s="5" t="n"/>
      <c r="C173" s="8" t="n"/>
      <c r="D173" s="8" t="n"/>
      <c r="E173" s="8" t="n"/>
    </row>
    <row r="174" ht="15.75" customHeight="1" s="18">
      <c r="A174" s="5" t="n"/>
      <c r="C174" s="8" t="n"/>
      <c r="D174" s="8" t="n"/>
      <c r="E174" s="8" t="n"/>
    </row>
    <row r="175" ht="15.75" customHeight="1" s="18">
      <c r="A175" s="5" t="n"/>
      <c r="C175" s="8" t="n"/>
      <c r="D175" s="8" t="n"/>
      <c r="E175" s="8" t="n"/>
    </row>
    <row r="176" ht="15.75" customHeight="1" s="18">
      <c r="A176" s="5" t="n"/>
      <c r="C176" s="8" t="n"/>
      <c r="D176" s="8" t="n"/>
      <c r="E176" s="8" t="n"/>
    </row>
    <row r="177" ht="15.75" customHeight="1" s="18">
      <c r="A177" s="5" t="n"/>
      <c r="C177" s="8" t="n"/>
      <c r="D177" s="8" t="n"/>
      <c r="E177" s="8" t="n"/>
    </row>
    <row r="178" ht="15.75" customHeight="1" s="18">
      <c r="A178" s="5" t="n"/>
      <c r="C178" s="8" t="n"/>
      <c r="D178" s="8" t="n"/>
      <c r="E178" s="8" t="n"/>
    </row>
    <row r="179" ht="15.75" customHeight="1" s="18">
      <c r="A179" s="5" t="n"/>
      <c r="C179" s="8" t="n"/>
      <c r="D179" s="8" t="n"/>
      <c r="E179" s="8" t="n"/>
    </row>
    <row r="180" ht="15.75" customHeight="1" s="18">
      <c r="A180" s="5" t="n"/>
      <c r="C180" s="8" t="n"/>
      <c r="D180" s="8" t="n"/>
      <c r="E180" s="8" t="n"/>
    </row>
    <row r="181" ht="15.75" customHeight="1" s="18">
      <c r="A181" s="5" t="n"/>
      <c r="C181" s="8" t="n"/>
      <c r="D181" s="8" t="n"/>
      <c r="E181" s="8" t="n"/>
    </row>
    <row r="182" ht="15.75" customHeight="1" s="18">
      <c r="A182" s="5" t="n"/>
      <c r="C182" s="8" t="n"/>
      <c r="D182" s="8" t="n"/>
      <c r="E182" s="8" t="n"/>
    </row>
    <row r="183" ht="15.75" customHeight="1" s="18">
      <c r="A183" s="5" t="n"/>
      <c r="C183" s="8" t="n"/>
      <c r="D183" s="8" t="n"/>
      <c r="E183" s="8" t="n"/>
    </row>
    <row r="184" ht="15.75" customHeight="1" s="18">
      <c r="A184" s="5" t="n"/>
      <c r="C184" s="8" t="n"/>
      <c r="D184" s="8" t="n"/>
      <c r="E184" s="8" t="n"/>
    </row>
    <row r="185" ht="15.75" customHeight="1" s="18">
      <c r="A185" s="5" t="n"/>
      <c r="C185" s="8" t="n"/>
      <c r="D185" s="8" t="n"/>
      <c r="E185" s="8" t="n"/>
    </row>
    <row r="186" ht="15.75" customHeight="1" s="18">
      <c r="A186" s="5" t="n"/>
      <c r="C186" s="8" t="n"/>
      <c r="D186" s="8" t="n"/>
      <c r="E186" s="8" t="n"/>
    </row>
    <row r="187" ht="15.75" customHeight="1" s="18">
      <c r="A187" s="5" t="n"/>
      <c r="C187" s="8" t="n"/>
      <c r="D187" s="8" t="n"/>
      <c r="E187" s="8" t="n"/>
    </row>
    <row r="188" ht="15.75" customHeight="1" s="18">
      <c r="A188" s="5" t="n"/>
      <c r="C188" s="8" t="n"/>
      <c r="D188" s="8" t="n"/>
      <c r="E188" s="8" t="n"/>
    </row>
    <row r="189" ht="15.75" customHeight="1" s="18">
      <c r="A189" s="5" t="n"/>
      <c r="C189" s="8" t="n"/>
      <c r="D189" s="8" t="n"/>
      <c r="E189" s="8" t="n"/>
    </row>
    <row r="190" ht="15.75" customHeight="1" s="18">
      <c r="A190" s="5" t="n"/>
      <c r="C190" s="8" t="n"/>
      <c r="D190" s="8" t="n"/>
      <c r="E190" s="8" t="n"/>
    </row>
    <row r="191" ht="15.75" customHeight="1" s="18">
      <c r="A191" s="5" t="n"/>
      <c r="C191" s="8" t="n"/>
      <c r="D191" s="8" t="n"/>
      <c r="E191" s="8" t="n"/>
    </row>
    <row r="192" ht="15.75" customHeight="1" s="18">
      <c r="A192" s="5" t="n"/>
      <c r="C192" s="8" t="n"/>
      <c r="D192" s="8" t="n"/>
      <c r="E192" s="8" t="n"/>
    </row>
    <row r="193" ht="15.75" customHeight="1" s="18">
      <c r="A193" s="5" t="n"/>
      <c r="C193" s="8" t="n"/>
      <c r="D193" s="8" t="n"/>
      <c r="E193" s="8" t="n"/>
    </row>
    <row r="194" ht="15.75" customHeight="1" s="18">
      <c r="A194" s="5" t="n"/>
      <c r="C194" s="8" t="n"/>
      <c r="D194" s="8" t="n"/>
      <c r="E194" s="8" t="n"/>
    </row>
    <row r="195" ht="15.75" customHeight="1" s="18">
      <c r="A195" s="5" t="n"/>
      <c r="C195" s="8" t="n"/>
      <c r="D195" s="8" t="n"/>
      <c r="E195" s="8" t="n"/>
    </row>
    <row r="196" ht="15.75" customHeight="1" s="18">
      <c r="A196" s="5" t="n"/>
      <c r="C196" s="8" t="n"/>
      <c r="D196" s="8" t="n"/>
      <c r="E196" s="8" t="n"/>
    </row>
    <row r="197" ht="15.75" customHeight="1" s="18">
      <c r="A197" s="5" t="n"/>
      <c r="C197" s="8" t="n"/>
      <c r="D197" s="8" t="n"/>
      <c r="E197" s="8" t="n"/>
    </row>
    <row r="198" ht="15.75" customHeight="1" s="18">
      <c r="A198" s="5" t="n"/>
      <c r="C198" s="8" t="n"/>
      <c r="D198" s="8" t="n"/>
      <c r="E198" s="8" t="n"/>
    </row>
    <row r="199" ht="15.75" customHeight="1" s="18">
      <c r="A199" s="5" t="n"/>
      <c r="C199" s="8" t="n"/>
      <c r="D199" s="8" t="n"/>
      <c r="E199" s="8" t="n"/>
    </row>
    <row r="200" ht="15.75" customHeight="1" s="18">
      <c r="A200" s="5" t="n"/>
      <c r="C200" s="8" t="n"/>
      <c r="D200" s="8" t="n"/>
      <c r="E200" s="8" t="n"/>
    </row>
    <row r="201" ht="15.75" customHeight="1" s="18">
      <c r="A201" s="5" t="n"/>
      <c r="C201" s="8" t="n"/>
      <c r="D201" s="8" t="n"/>
      <c r="E201" s="8" t="n"/>
    </row>
    <row r="202" ht="15.75" customHeight="1" s="18">
      <c r="A202" s="5" t="n"/>
      <c r="C202" s="8" t="n"/>
      <c r="D202" s="8" t="n"/>
      <c r="E202" s="8" t="n"/>
    </row>
    <row r="203" ht="15.75" customHeight="1" s="18">
      <c r="A203" s="5" t="n"/>
      <c r="C203" s="8" t="n"/>
      <c r="D203" s="8" t="n"/>
      <c r="E203" s="8" t="n"/>
    </row>
    <row r="204" ht="15.75" customHeight="1" s="18">
      <c r="A204" s="5" t="n"/>
      <c r="C204" s="8" t="n"/>
      <c r="D204" s="8" t="n"/>
      <c r="E204" s="8" t="n"/>
    </row>
    <row r="205" ht="15.75" customHeight="1" s="18">
      <c r="A205" s="5" t="n"/>
      <c r="C205" s="8" t="n"/>
      <c r="D205" s="8" t="n"/>
      <c r="E205" s="8" t="n"/>
    </row>
    <row r="206" ht="15.75" customHeight="1" s="18">
      <c r="A206" s="5" t="n"/>
      <c r="C206" s="8" t="n"/>
      <c r="D206" s="8" t="n"/>
      <c r="E206" s="8" t="n"/>
    </row>
    <row r="207" ht="15.75" customHeight="1" s="18">
      <c r="A207" s="5" t="n"/>
      <c r="C207" s="8" t="n"/>
      <c r="D207" s="8" t="n"/>
      <c r="E207" s="8" t="n"/>
    </row>
    <row r="208" ht="15.75" customHeight="1" s="18">
      <c r="A208" s="5" t="n"/>
      <c r="C208" s="8" t="n"/>
      <c r="D208" s="8" t="n"/>
      <c r="E208" s="8" t="n"/>
    </row>
    <row r="209" ht="15.75" customHeight="1" s="18">
      <c r="A209" s="5" t="n"/>
      <c r="C209" s="8" t="n"/>
      <c r="D209" s="8" t="n"/>
      <c r="E209" s="8" t="n"/>
    </row>
    <row r="210" ht="15.75" customHeight="1" s="18">
      <c r="A210" s="5" t="n"/>
      <c r="C210" s="8" t="n"/>
      <c r="D210" s="8" t="n"/>
      <c r="E210" s="8" t="n"/>
    </row>
    <row r="211" ht="15.75" customHeight="1" s="18">
      <c r="A211" s="5" t="n"/>
      <c r="C211" s="8" t="n"/>
      <c r="D211" s="8" t="n"/>
      <c r="E211" s="8" t="n"/>
    </row>
    <row r="212" ht="15.75" customHeight="1" s="18">
      <c r="A212" s="5" t="n"/>
      <c r="C212" s="8" t="n"/>
      <c r="D212" s="8" t="n"/>
      <c r="E212" s="8" t="n"/>
    </row>
    <row r="213" ht="15.75" customHeight="1" s="18">
      <c r="A213" s="5" t="n"/>
      <c r="C213" s="8" t="n"/>
      <c r="D213" s="8" t="n"/>
      <c r="E213" s="8" t="n"/>
    </row>
    <row r="214" ht="15.75" customHeight="1" s="18">
      <c r="A214" s="5" t="n"/>
      <c r="C214" s="8" t="n"/>
      <c r="D214" s="8" t="n"/>
      <c r="E214" s="8" t="n"/>
    </row>
    <row r="215" ht="15.75" customHeight="1" s="18">
      <c r="A215" s="5" t="n"/>
      <c r="C215" s="8" t="n"/>
      <c r="D215" s="8" t="n"/>
      <c r="E215" s="8" t="n"/>
    </row>
    <row r="216" ht="15.75" customHeight="1" s="18">
      <c r="A216" s="5" t="n"/>
      <c r="C216" s="8" t="n"/>
      <c r="D216" s="8" t="n"/>
      <c r="E216" s="8" t="n"/>
    </row>
    <row r="217" ht="15.75" customHeight="1" s="18">
      <c r="A217" s="5" t="n"/>
      <c r="C217" s="8" t="n"/>
      <c r="D217" s="8" t="n"/>
      <c r="E217" s="8" t="n"/>
    </row>
    <row r="218" ht="15.75" customHeight="1" s="18">
      <c r="A218" s="5" t="n"/>
      <c r="C218" s="8" t="n"/>
      <c r="D218" s="8" t="n"/>
      <c r="E218" s="8" t="n"/>
    </row>
    <row r="219" ht="15.75" customHeight="1" s="18">
      <c r="A219" s="5" t="n"/>
      <c r="C219" s="8" t="n"/>
      <c r="D219" s="8" t="n"/>
      <c r="E219" s="8" t="n"/>
    </row>
    <row r="220" ht="15.75" customHeight="1" s="18">
      <c r="A220" s="5" t="n"/>
      <c r="C220" s="8" t="n"/>
      <c r="D220" s="8" t="n"/>
      <c r="E220" s="8" t="n"/>
    </row>
    <row r="221" ht="15.75" customHeight="1" s="18">
      <c r="C221" s="8" t="n"/>
      <c r="D221" s="8" t="n"/>
      <c r="E221" s="8" t="n"/>
    </row>
    <row r="222" ht="15.75" customHeight="1" s="18">
      <c r="C222" s="8" t="n"/>
      <c r="D222" s="8" t="n"/>
      <c r="E222" s="8" t="n"/>
    </row>
    <row r="223" ht="15.75" customHeight="1" s="18">
      <c r="C223" s="8" t="n"/>
      <c r="D223" s="8" t="n"/>
      <c r="E223" s="8" t="n"/>
    </row>
    <row r="224" ht="15.75" customHeight="1" s="18">
      <c r="C224" s="8" t="n"/>
      <c r="D224" s="8" t="n"/>
      <c r="E224" s="8" t="n"/>
    </row>
    <row r="225" ht="15.75" customHeight="1" s="18">
      <c r="C225" s="8" t="n"/>
      <c r="D225" s="8" t="n"/>
      <c r="E225" s="8" t="n"/>
    </row>
    <row r="226" ht="15.75" customHeight="1" s="18">
      <c r="C226" s="8" t="n"/>
      <c r="D226" s="8" t="n"/>
      <c r="E226" s="8" t="n"/>
    </row>
    <row r="227" ht="15.75" customHeight="1" s="18">
      <c r="C227" s="8" t="n"/>
      <c r="D227" s="8" t="n"/>
      <c r="E227" s="8" t="n"/>
    </row>
    <row r="228" ht="15.75" customHeight="1" s="18">
      <c r="C228" s="8" t="n"/>
      <c r="D228" s="8" t="n"/>
      <c r="E228" s="8" t="n"/>
    </row>
    <row r="229" ht="15.75" customHeight="1" s="18">
      <c r="C229" s="8" t="n"/>
      <c r="D229" s="8" t="n"/>
      <c r="E229" s="8" t="n"/>
    </row>
    <row r="230" ht="15.75" customHeight="1" s="18">
      <c r="C230" s="8" t="n"/>
      <c r="D230" s="8" t="n"/>
      <c r="E230" s="8" t="n"/>
    </row>
    <row r="231" ht="15.75" customHeight="1" s="18">
      <c r="C231" s="8" t="n"/>
      <c r="D231" s="8" t="n"/>
      <c r="E231" s="8" t="n"/>
    </row>
    <row r="232" ht="15.75" customHeight="1" s="18">
      <c r="C232" s="8" t="n"/>
      <c r="D232" s="8" t="n"/>
      <c r="E232" s="8" t="n"/>
    </row>
    <row r="233" ht="15.75" customHeight="1" s="18">
      <c r="C233" s="8" t="n"/>
      <c r="D233" s="8" t="n"/>
      <c r="E233" s="8" t="n"/>
    </row>
    <row r="234" ht="15.75" customHeight="1" s="18">
      <c r="C234" s="8" t="n"/>
      <c r="D234" s="8" t="n"/>
      <c r="E234" s="8" t="n"/>
    </row>
    <row r="235" ht="15.75" customHeight="1" s="18">
      <c r="C235" s="8" t="n"/>
      <c r="D235" s="8" t="n"/>
      <c r="E235" s="8" t="n"/>
    </row>
    <row r="236" ht="15.75" customHeight="1" s="18">
      <c r="C236" s="8" t="n"/>
      <c r="D236" s="8" t="n"/>
      <c r="E236" s="8" t="n"/>
    </row>
    <row r="237" ht="15.75" customHeight="1" s="18">
      <c r="C237" s="8" t="n"/>
      <c r="D237" s="8" t="n"/>
      <c r="E237" s="8" t="n"/>
    </row>
    <row r="238" ht="15.75" customHeight="1" s="18">
      <c r="C238" s="8" t="n"/>
      <c r="D238" s="8" t="n"/>
      <c r="E238" s="8" t="n"/>
    </row>
    <row r="239" ht="15.75" customHeight="1" s="18">
      <c r="C239" s="8" t="n"/>
      <c r="D239" s="8" t="n"/>
      <c r="E239" s="8" t="n"/>
    </row>
    <row r="240" ht="15.75" customHeight="1" s="18">
      <c r="C240" s="8" t="n"/>
      <c r="D240" s="8" t="n"/>
      <c r="E240" s="8" t="n"/>
    </row>
    <row r="241" ht="15.75" customHeight="1" s="18">
      <c r="C241" s="8" t="n"/>
      <c r="D241" s="8" t="n"/>
      <c r="E241" s="8" t="n"/>
    </row>
    <row r="242" ht="15.75" customHeight="1" s="18">
      <c r="C242" s="8" t="n"/>
      <c r="D242" s="8" t="n"/>
      <c r="E242" s="8" t="n"/>
    </row>
    <row r="243" ht="15.75" customHeight="1" s="18">
      <c r="C243" s="8" t="n"/>
      <c r="D243" s="8" t="n"/>
      <c r="E243" s="8" t="n"/>
    </row>
    <row r="244" ht="15.75" customHeight="1" s="18">
      <c r="C244" s="8" t="n"/>
      <c r="D244" s="8" t="n"/>
      <c r="E244" s="8" t="n"/>
    </row>
    <row r="245" ht="15.75" customHeight="1" s="18">
      <c r="C245" s="8" t="n"/>
      <c r="D245" s="8" t="n"/>
      <c r="E245" s="8" t="n"/>
    </row>
    <row r="246" ht="15.75" customHeight="1" s="18">
      <c r="C246" s="8" t="n"/>
      <c r="D246" s="8" t="n"/>
      <c r="E246" s="8" t="n"/>
    </row>
    <row r="247" ht="15.75" customHeight="1" s="18">
      <c r="C247" s="8" t="n"/>
      <c r="D247" s="8" t="n"/>
      <c r="E247" s="8" t="n"/>
    </row>
    <row r="248" ht="15.75" customHeight="1" s="18">
      <c r="C248" s="8" t="n"/>
      <c r="D248" s="8" t="n"/>
      <c r="E248" s="8" t="n"/>
    </row>
    <row r="249" ht="15.75" customHeight="1" s="18">
      <c r="C249" s="8" t="n"/>
      <c r="D249" s="8" t="n"/>
      <c r="E249" s="8" t="n"/>
    </row>
    <row r="250" ht="15.75" customHeight="1" s="18">
      <c r="C250" s="8" t="n"/>
      <c r="D250" s="8" t="n"/>
      <c r="E250" s="8" t="n"/>
    </row>
    <row r="251" ht="15.75" customHeight="1" s="18">
      <c r="C251" s="8" t="n"/>
      <c r="D251" s="8" t="n"/>
      <c r="E251" s="8" t="n"/>
    </row>
    <row r="252" ht="15.75" customHeight="1" s="18">
      <c r="C252" s="8" t="n"/>
      <c r="D252" s="8" t="n"/>
      <c r="E252" s="8" t="n"/>
    </row>
    <row r="253" ht="15.75" customHeight="1" s="18">
      <c r="C253" s="8" t="n"/>
      <c r="D253" s="8" t="n"/>
      <c r="E253" s="8" t="n"/>
    </row>
    <row r="254" ht="15.75" customHeight="1" s="18">
      <c r="C254" s="8" t="n"/>
      <c r="D254" s="8" t="n"/>
      <c r="E254" s="8" t="n"/>
    </row>
    <row r="255" ht="15.75" customHeight="1" s="18">
      <c r="C255" s="8" t="n"/>
      <c r="D255" s="8" t="n"/>
      <c r="E255" s="8" t="n"/>
    </row>
    <row r="256" ht="15.75" customHeight="1" s="18">
      <c r="C256" s="8" t="n"/>
      <c r="D256" s="8" t="n"/>
      <c r="E256" s="8" t="n"/>
    </row>
    <row r="257" ht="15.75" customHeight="1" s="18">
      <c r="C257" s="8" t="n"/>
      <c r="D257" s="8" t="n"/>
      <c r="E257" s="8" t="n"/>
    </row>
    <row r="258" ht="15.75" customHeight="1" s="18">
      <c r="C258" s="8" t="n"/>
      <c r="D258" s="8" t="n"/>
      <c r="E258" s="8" t="n"/>
    </row>
    <row r="259" ht="15.75" customHeight="1" s="18">
      <c r="C259" s="8" t="n"/>
      <c r="D259" s="8" t="n"/>
      <c r="E259" s="8" t="n"/>
    </row>
    <row r="260" ht="15.75" customHeight="1" s="18">
      <c r="C260" s="8" t="n"/>
      <c r="D260" s="8" t="n"/>
      <c r="E260" s="8" t="n"/>
    </row>
    <row r="261" ht="15.75" customHeight="1" s="18">
      <c r="C261" s="8" t="n"/>
      <c r="D261" s="8" t="n"/>
      <c r="E261" s="8" t="n"/>
    </row>
    <row r="262" ht="15.75" customHeight="1" s="18">
      <c r="C262" s="8" t="n"/>
      <c r="D262" s="8" t="n"/>
      <c r="E262" s="8" t="n"/>
    </row>
    <row r="263" ht="15.75" customHeight="1" s="18">
      <c r="C263" s="8" t="n"/>
      <c r="D263" s="8" t="n"/>
      <c r="E263" s="8" t="n"/>
    </row>
    <row r="264" ht="15.75" customHeight="1" s="18">
      <c r="C264" s="8" t="n"/>
      <c r="D264" s="8" t="n"/>
      <c r="E264" s="8" t="n"/>
    </row>
    <row r="265" ht="15.75" customHeight="1" s="18">
      <c r="C265" s="8" t="n"/>
      <c r="D265" s="8" t="n"/>
      <c r="E265" s="8" t="n"/>
    </row>
    <row r="266" ht="15.75" customHeight="1" s="18">
      <c r="C266" s="8" t="n"/>
      <c r="D266" s="8" t="n"/>
      <c r="E266" s="8" t="n"/>
    </row>
    <row r="267" ht="15.75" customHeight="1" s="18">
      <c r="C267" s="8" t="n"/>
      <c r="D267" s="8" t="n"/>
      <c r="E267" s="8" t="n"/>
    </row>
    <row r="268" ht="15.75" customHeight="1" s="18">
      <c r="C268" s="8" t="n"/>
      <c r="D268" s="8" t="n"/>
      <c r="E268" s="8" t="n"/>
    </row>
    <row r="269" ht="15.75" customHeight="1" s="18">
      <c r="C269" s="8" t="n"/>
      <c r="D269" s="8" t="n"/>
      <c r="E269" s="8" t="n"/>
    </row>
    <row r="270" ht="15.75" customHeight="1" s="18">
      <c r="C270" s="8" t="n"/>
      <c r="D270" s="8" t="n"/>
      <c r="E270" s="8" t="n"/>
    </row>
    <row r="271" ht="15.75" customHeight="1" s="18">
      <c r="C271" s="8" t="n"/>
      <c r="D271" s="8" t="n"/>
      <c r="E271" s="8" t="n"/>
    </row>
    <row r="272" ht="15.75" customHeight="1" s="18">
      <c r="C272" s="8" t="n"/>
      <c r="D272" s="8" t="n"/>
      <c r="E272" s="8" t="n"/>
    </row>
    <row r="273" ht="15.75" customHeight="1" s="18">
      <c r="C273" s="8" t="n"/>
      <c r="D273" s="8" t="n"/>
      <c r="E273" s="8" t="n"/>
    </row>
    <row r="274" ht="15.75" customHeight="1" s="18">
      <c r="C274" s="8" t="n"/>
      <c r="D274" s="8" t="n"/>
      <c r="E274" s="8" t="n"/>
    </row>
    <row r="275" ht="15.75" customHeight="1" s="18">
      <c r="C275" s="8" t="n"/>
      <c r="D275" s="8" t="n"/>
      <c r="E275" s="8" t="n"/>
    </row>
    <row r="276" ht="15.75" customHeight="1" s="18">
      <c r="C276" s="8" t="n"/>
      <c r="D276" s="8" t="n"/>
      <c r="E276" s="8" t="n"/>
    </row>
    <row r="277" ht="15.75" customHeight="1" s="18">
      <c r="C277" s="8" t="n"/>
      <c r="D277" s="8" t="n"/>
      <c r="E277" s="8" t="n"/>
    </row>
    <row r="278" ht="15.75" customHeight="1" s="18">
      <c r="C278" s="8" t="n"/>
      <c r="D278" s="8" t="n"/>
      <c r="E278" s="8" t="n"/>
    </row>
    <row r="279" ht="15.75" customHeight="1" s="18">
      <c r="C279" s="8" t="n"/>
      <c r="D279" s="8" t="n"/>
      <c r="E279" s="8" t="n"/>
    </row>
    <row r="280" ht="15.75" customHeight="1" s="18">
      <c r="C280" s="8" t="n"/>
      <c r="D280" s="8" t="n"/>
      <c r="E280" s="8" t="n"/>
    </row>
    <row r="281" ht="15.75" customHeight="1" s="18">
      <c r="C281" s="8" t="n"/>
      <c r="D281" s="8" t="n"/>
      <c r="E281" s="8" t="n"/>
    </row>
    <row r="282" ht="15.75" customHeight="1" s="18">
      <c r="C282" s="8" t="n"/>
      <c r="D282" s="8" t="n"/>
      <c r="E282" s="8" t="n"/>
    </row>
    <row r="283" ht="15.75" customHeight="1" s="18">
      <c r="C283" s="8" t="n"/>
      <c r="D283" s="8" t="n"/>
      <c r="E283" s="8" t="n"/>
    </row>
    <row r="284" ht="15.75" customHeight="1" s="18">
      <c r="C284" s="8" t="n"/>
      <c r="D284" s="8" t="n"/>
      <c r="E284" s="8" t="n"/>
    </row>
    <row r="285" ht="15.75" customHeight="1" s="18">
      <c r="C285" s="8" t="n"/>
      <c r="D285" s="8" t="n"/>
      <c r="E285" s="8" t="n"/>
    </row>
    <row r="286" ht="15.75" customHeight="1" s="18">
      <c r="C286" s="8" t="n"/>
      <c r="D286" s="8" t="n"/>
      <c r="E286" s="8" t="n"/>
    </row>
    <row r="287" ht="15.75" customHeight="1" s="18">
      <c r="C287" s="8" t="n"/>
      <c r="D287" s="8" t="n"/>
      <c r="E287" s="8" t="n"/>
    </row>
    <row r="288" ht="15.75" customHeight="1" s="18">
      <c r="C288" s="8" t="n"/>
      <c r="D288" s="8" t="n"/>
      <c r="E288" s="8" t="n"/>
    </row>
    <row r="289" ht="15.75" customHeight="1" s="18">
      <c r="C289" s="8" t="n"/>
      <c r="D289" s="8" t="n"/>
      <c r="E289" s="8" t="n"/>
    </row>
    <row r="290" ht="15.75" customHeight="1" s="18">
      <c r="C290" s="8" t="n"/>
      <c r="D290" s="8" t="n"/>
      <c r="E290" s="8" t="n"/>
    </row>
    <row r="291" ht="15.75" customHeight="1" s="18">
      <c r="C291" s="8" t="n"/>
      <c r="D291" s="8" t="n"/>
      <c r="E291" s="8" t="n"/>
    </row>
    <row r="292" ht="15.75" customHeight="1" s="18">
      <c r="C292" s="8" t="n"/>
      <c r="D292" s="8" t="n"/>
      <c r="E292" s="8" t="n"/>
    </row>
    <row r="293" ht="15.75" customHeight="1" s="18">
      <c r="C293" s="8" t="n"/>
      <c r="D293" s="8" t="n"/>
      <c r="E293" s="8" t="n"/>
    </row>
    <row r="294" ht="15.75" customHeight="1" s="18">
      <c r="C294" s="8" t="n"/>
      <c r="D294" s="8" t="n"/>
      <c r="E294" s="8" t="n"/>
    </row>
    <row r="295" ht="15.75" customHeight="1" s="18">
      <c r="C295" s="8" t="n"/>
      <c r="D295" s="8" t="n"/>
      <c r="E295" s="8" t="n"/>
    </row>
    <row r="296" ht="15.75" customHeight="1" s="18">
      <c r="C296" s="8" t="n"/>
      <c r="D296" s="8" t="n"/>
      <c r="E296" s="8" t="n"/>
    </row>
    <row r="297" ht="15.75" customHeight="1" s="18">
      <c r="C297" s="8" t="n"/>
      <c r="D297" s="8" t="n"/>
      <c r="E297" s="8" t="n"/>
    </row>
    <row r="298" ht="15.75" customHeight="1" s="18">
      <c r="C298" s="8" t="n"/>
      <c r="D298" s="8" t="n"/>
      <c r="E298" s="8" t="n"/>
    </row>
    <row r="299" ht="15.75" customHeight="1" s="18">
      <c r="C299" s="8" t="n"/>
      <c r="D299" s="8" t="n"/>
      <c r="E299" s="8" t="n"/>
    </row>
    <row r="300" ht="15.75" customHeight="1" s="18">
      <c r="C300" s="8" t="n"/>
      <c r="D300" s="8" t="n"/>
      <c r="E300" s="8" t="n"/>
    </row>
    <row r="301" ht="15.75" customHeight="1" s="18">
      <c r="C301" s="8" t="n"/>
      <c r="D301" s="8" t="n"/>
      <c r="E301" s="8" t="n"/>
    </row>
    <row r="302" ht="15.75" customHeight="1" s="18">
      <c r="C302" s="8" t="n"/>
      <c r="D302" s="8" t="n"/>
      <c r="E302" s="8" t="n"/>
    </row>
    <row r="303" ht="15.75" customHeight="1" s="18">
      <c r="C303" s="8" t="n"/>
      <c r="D303" s="8" t="n"/>
      <c r="E303" s="8" t="n"/>
    </row>
    <row r="304" ht="15.75" customHeight="1" s="18">
      <c r="C304" s="8" t="n"/>
      <c r="D304" s="8" t="n"/>
      <c r="E304" s="8" t="n"/>
    </row>
    <row r="305" ht="15.75" customHeight="1" s="18">
      <c r="C305" s="8" t="n"/>
      <c r="D305" s="8" t="n"/>
      <c r="E305" s="8" t="n"/>
    </row>
    <row r="306" ht="15.75" customHeight="1" s="18">
      <c r="C306" s="8" t="n"/>
      <c r="D306" s="8" t="n"/>
      <c r="E306" s="8" t="n"/>
    </row>
    <row r="307" ht="15.75" customHeight="1" s="18">
      <c r="C307" s="8" t="n"/>
      <c r="D307" s="8" t="n"/>
      <c r="E307" s="8" t="n"/>
    </row>
    <row r="308" ht="15.75" customHeight="1" s="18">
      <c r="C308" s="8" t="n"/>
      <c r="D308" s="8" t="n"/>
      <c r="E308" s="8" t="n"/>
    </row>
    <row r="309" ht="15.75" customHeight="1" s="18">
      <c r="C309" s="8" t="n"/>
      <c r="D309" s="8" t="n"/>
      <c r="E309" s="8" t="n"/>
    </row>
    <row r="310" ht="15.75" customHeight="1" s="18">
      <c r="C310" s="8" t="n"/>
      <c r="D310" s="8" t="n"/>
      <c r="E310" s="8" t="n"/>
    </row>
    <row r="311" ht="15.75" customHeight="1" s="18">
      <c r="C311" s="8" t="n"/>
      <c r="D311" s="8" t="n"/>
      <c r="E311" s="8" t="n"/>
    </row>
    <row r="312" ht="15.75" customHeight="1" s="18">
      <c r="C312" s="8" t="n"/>
      <c r="D312" s="8" t="n"/>
      <c r="E312" s="8" t="n"/>
    </row>
    <row r="313" ht="15.75" customHeight="1" s="18">
      <c r="C313" s="8" t="n"/>
      <c r="D313" s="8" t="n"/>
      <c r="E313" s="8" t="n"/>
    </row>
    <row r="314" ht="15.75" customHeight="1" s="18">
      <c r="C314" s="8" t="n"/>
      <c r="D314" s="8" t="n"/>
      <c r="E314" s="8" t="n"/>
    </row>
    <row r="315" ht="15.75" customHeight="1" s="18">
      <c r="C315" s="8" t="n"/>
      <c r="D315" s="8" t="n"/>
      <c r="E315" s="8" t="n"/>
    </row>
    <row r="316" ht="15.75" customHeight="1" s="18">
      <c r="C316" s="8" t="n"/>
      <c r="D316" s="8" t="n"/>
      <c r="E316" s="8" t="n"/>
    </row>
    <row r="317" ht="15.75" customHeight="1" s="18">
      <c r="C317" s="8" t="n"/>
      <c r="D317" s="8" t="n"/>
      <c r="E317" s="8" t="n"/>
    </row>
    <row r="318" ht="15.75" customHeight="1" s="18">
      <c r="C318" s="8" t="n"/>
      <c r="D318" s="8" t="n"/>
      <c r="E318" s="8" t="n"/>
    </row>
    <row r="319" ht="15.75" customHeight="1" s="18">
      <c r="C319" s="8" t="n"/>
      <c r="D319" s="8" t="n"/>
      <c r="E319" s="8" t="n"/>
    </row>
    <row r="320" ht="15.75" customHeight="1" s="18">
      <c r="C320" s="8" t="n"/>
      <c r="D320" s="8" t="n"/>
      <c r="E320" s="8" t="n"/>
    </row>
    <row r="321" ht="15.75" customHeight="1" s="18">
      <c r="C321" s="8" t="n"/>
      <c r="D321" s="8" t="n"/>
      <c r="E321" s="8" t="n"/>
    </row>
    <row r="322" ht="15.75" customHeight="1" s="18">
      <c r="C322" s="8" t="n"/>
      <c r="D322" s="8" t="n"/>
      <c r="E322" s="8" t="n"/>
    </row>
    <row r="323" ht="15.75" customHeight="1" s="18">
      <c r="C323" s="8" t="n"/>
      <c r="D323" s="8" t="n"/>
      <c r="E323" s="8" t="n"/>
    </row>
    <row r="324" ht="15.75" customHeight="1" s="18">
      <c r="C324" s="8" t="n"/>
      <c r="D324" s="8" t="n"/>
      <c r="E324" s="8" t="n"/>
    </row>
    <row r="325" ht="15.75" customHeight="1" s="18">
      <c r="C325" s="8" t="n"/>
      <c r="D325" s="8" t="n"/>
      <c r="E325" s="8" t="n"/>
    </row>
    <row r="326" ht="15.75" customHeight="1" s="18">
      <c r="C326" s="8" t="n"/>
      <c r="D326" s="8" t="n"/>
      <c r="E326" s="8" t="n"/>
    </row>
    <row r="327" ht="15.75" customHeight="1" s="18">
      <c r="C327" s="8" t="n"/>
      <c r="D327" s="8" t="n"/>
      <c r="E327" s="8" t="n"/>
    </row>
    <row r="328" ht="15.75" customHeight="1" s="18">
      <c r="C328" s="8" t="n"/>
      <c r="D328" s="8" t="n"/>
      <c r="E328" s="8" t="n"/>
    </row>
    <row r="329" ht="15.75" customHeight="1" s="18">
      <c r="C329" s="8" t="n"/>
      <c r="D329" s="8" t="n"/>
      <c r="E329" s="8" t="n"/>
    </row>
    <row r="330" ht="15.75" customHeight="1" s="18">
      <c r="C330" s="8" t="n"/>
      <c r="D330" s="8" t="n"/>
      <c r="E330" s="8" t="n"/>
    </row>
    <row r="331" ht="15.75" customHeight="1" s="18">
      <c r="C331" s="8" t="n"/>
      <c r="D331" s="8" t="n"/>
      <c r="E331" s="8" t="n"/>
    </row>
    <row r="332" ht="15.75" customHeight="1" s="18">
      <c r="C332" s="8" t="n"/>
      <c r="D332" s="8" t="n"/>
      <c r="E332" s="8" t="n"/>
    </row>
    <row r="333" ht="15.75" customHeight="1" s="18">
      <c r="C333" s="8" t="n"/>
      <c r="D333" s="8" t="n"/>
      <c r="E333" s="8" t="n"/>
    </row>
    <row r="334" ht="15.75" customHeight="1" s="18">
      <c r="C334" s="8" t="n"/>
      <c r="D334" s="8" t="n"/>
      <c r="E334" s="8" t="n"/>
    </row>
    <row r="335" ht="15.75" customHeight="1" s="18">
      <c r="C335" s="8" t="n"/>
      <c r="D335" s="8" t="n"/>
      <c r="E335" s="8" t="n"/>
    </row>
    <row r="336" ht="15.75" customHeight="1" s="18">
      <c r="C336" s="8" t="n"/>
      <c r="D336" s="8" t="n"/>
      <c r="E336" s="8" t="n"/>
    </row>
    <row r="337" ht="15.75" customHeight="1" s="18">
      <c r="C337" s="8" t="n"/>
      <c r="D337" s="8" t="n"/>
      <c r="E337" s="8" t="n"/>
    </row>
    <row r="338" ht="15.75" customHeight="1" s="18">
      <c r="C338" s="8" t="n"/>
      <c r="D338" s="8" t="n"/>
      <c r="E338" s="8" t="n"/>
    </row>
    <row r="339" ht="15.75" customHeight="1" s="18">
      <c r="C339" s="8" t="n"/>
      <c r="D339" s="8" t="n"/>
      <c r="E339" s="8" t="n"/>
    </row>
    <row r="340" ht="15.75" customHeight="1" s="18">
      <c r="C340" s="8" t="n"/>
      <c r="D340" s="8" t="n"/>
      <c r="E340" s="8" t="n"/>
    </row>
    <row r="341" ht="15.75" customHeight="1" s="18">
      <c r="C341" s="8" t="n"/>
      <c r="D341" s="8" t="n"/>
      <c r="E341" s="8" t="n"/>
    </row>
    <row r="342" ht="15.75" customHeight="1" s="18">
      <c r="C342" s="8" t="n"/>
      <c r="D342" s="8" t="n"/>
      <c r="E342" s="8" t="n"/>
    </row>
    <row r="343" ht="15.75" customHeight="1" s="18">
      <c r="C343" s="8" t="n"/>
      <c r="D343" s="8" t="n"/>
      <c r="E343" s="8" t="n"/>
    </row>
    <row r="344" ht="15.75" customHeight="1" s="18">
      <c r="C344" s="8" t="n"/>
      <c r="D344" s="8" t="n"/>
      <c r="E344" s="8" t="n"/>
    </row>
    <row r="345" ht="15.75" customHeight="1" s="18">
      <c r="C345" s="8" t="n"/>
      <c r="D345" s="8" t="n"/>
      <c r="E345" s="8" t="n"/>
    </row>
    <row r="346" ht="15.75" customHeight="1" s="18">
      <c r="C346" s="8" t="n"/>
      <c r="D346" s="8" t="n"/>
      <c r="E346" s="8" t="n"/>
    </row>
    <row r="347" ht="15.75" customHeight="1" s="18">
      <c r="C347" s="8" t="n"/>
      <c r="D347" s="8" t="n"/>
      <c r="E347" s="8" t="n"/>
    </row>
    <row r="348" ht="15.75" customHeight="1" s="18">
      <c r="C348" s="8" t="n"/>
      <c r="D348" s="8" t="n"/>
      <c r="E348" s="8" t="n"/>
    </row>
    <row r="349" ht="15.75" customHeight="1" s="18">
      <c r="C349" s="8" t="n"/>
      <c r="D349" s="8" t="n"/>
      <c r="E349" s="8" t="n"/>
    </row>
    <row r="350" ht="15.75" customHeight="1" s="18">
      <c r="C350" s="8" t="n"/>
      <c r="D350" s="8" t="n"/>
      <c r="E350" s="8" t="n"/>
    </row>
    <row r="351" ht="15.75" customHeight="1" s="18">
      <c r="C351" s="8" t="n"/>
      <c r="D351" s="8" t="n"/>
      <c r="E351" s="8" t="n"/>
    </row>
    <row r="352" ht="15.75" customHeight="1" s="18">
      <c r="C352" s="8" t="n"/>
      <c r="D352" s="8" t="n"/>
      <c r="E352" s="8" t="n"/>
    </row>
    <row r="353" ht="15.75" customHeight="1" s="18">
      <c r="C353" s="8" t="n"/>
      <c r="D353" s="8" t="n"/>
      <c r="E353" s="8" t="n"/>
    </row>
    <row r="354" ht="15.75" customHeight="1" s="18">
      <c r="C354" s="8" t="n"/>
      <c r="D354" s="8" t="n"/>
      <c r="E354" s="8" t="n"/>
    </row>
    <row r="355" ht="15.75" customHeight="1" s="18">
      <c r="C355" s="8" t="n"/>
      <c r="D355" s="8" t="n"/>
      <c r="E355" s="8" t="n"/>
    </row>
    <row r="356" ht="15.75" customHeight="1" s="18">
      <c r="C356" s="8" t="n"/>
      <c r="D356" s="8" t="n"/>
      <c r="E356" s="8" t="n"/>
    </row>
    <row r="357" ht="15.75" customHeight="1" s="18">
      <c r="C357" s="8" t="n"/>
      <c r="D357" s="8" t="n"/>
      <c r="E357" s="8" t="n"/>
    </row>
    <row r="358" ht="15.75" customHeight="1" s="18">
      <c r="C358" s="8" t="n"/>
      <c r="D358" s="8" t="n"/>
      <c r="E358" s="8" t="n"/>
    </row>
    <row r="359" ht="15.75" customHeight="1" s="18">
      <c r="C359" s="8" t="n"/>
      <c r="D359" s="8" t="n"/>
      <c r="E359" s="8" t="n"/>
    </row>
    <row r="360" ht="15.75" customHeight="1" s="18">
      <c r="C360" s="8" t="n"/>
      <c r="D360" s="8" t="n"/>
      <c r="E360" s="8" t="n"/>
    </row>
    <row r="361" ht="15.75" customHeight="1" s="18">
      <c r="C361" s="8" t="n"/>
      <c r="D361" s="8" t="n"/>
      <c r="E361" s="8" t="n"/>
    </row>
    <row r="362" ht="15.75" customHeight="1" s="18">
      <c r="C362" s="8" t="n"/>
      <c r="D362" s="8" t="n"/>
      <c r="E362" s="8" t="n"/>
    </row>
    <row r="363" ht="15.75" customHeight="1" s="18">
      <c r="C363" s="8" t="n"/>
      <c r="D363" s="8" t="n"/>
      <c r="E363" s="8" t="n"/>
    </row>
    <row r="364" ht="15.75" customHeight="1" s="18">
      <c r="C364" s="8" t="n"/>
      <c r="D364" s="8" t="n"/>
      <c r="E364" s="8" t="n"/>
    </row>
    <row r="365" ht="15.75" customHeight="1" s="18">
      <c r="C365" s="8" t="n"/>
      <c r="D365" s="8" t="n"/>
      <c r="E365" s="8" t="n"/>
    </row>
    <row r="366" ht="15.75" customHeight="1" s="18">
      <c r="C366" s="8" t="n"/>
      <c r="D366" s="8" t="n"/>
      <c r="E366" s="8" t="n"/>
    </row>
    <row r="367" ht="15.75" customHeight="1" s="18">
      <c r="C367" s="8" t="n"/>
      <c r="D367" s="8" t="n"/>
      <c r="E367" s="8" t="n"/>
    </row>
    <row r="368" ht="15.75" customHeight="1" s="18">
      <c r="C368" s="8" t="n"/>
      <c r="D368" s="8" t="n"/>
      <c r="E368" s="8" t="n"/>
    </row>
    <row r="369" ht="15.75" customHeight="1" s="18">
      <c r="C369" s="8" t="n"/>
      <c r="D369" s="8" t="n"/>
      <c r="E369" s="8" t="n"/>
    </row>
    <row r="370" ht="15.75" customHeight="1" s="18">
      <c r="C370" s="8" t="n"/>
      <c r="D370" s="8" t="n"/>
      <c r="E370" s="8" t="n"/>
    </row>
    <row r="371" ht="15.75" customHeight="1" s="18">
      <c r="C371" s="8" t="n"/>
      <c r="D371" s="8" t="n"/>
      <c r="E371" s="8" t="n"/>
    </row>
    <row r="372" ht="15.75" customHeight="1" s="18">
      <c r="C372" s="8" t="n"/>
      <c r="D372" s="8" t="n"/>
      <c r="E372" s="8" t="n"/>
    </row>
    <row r="373" ht="15.75" customHeight="1" s="18">
      <c r="C373" s="8" t="n"/>
      <c r="D373" s="8" t="n"/>
      <c r="E373" s="8" t="n"/>
    </row>
    <row r="374" ht="15.75" customHeight="1" s="18">
      <c r="C374" s="8" t="n"/>
      <c r="D374" s="8" t="n"/>
      <c r="E374" s="8" t="n"/>
    </row>
    <row r="375" ht="15.75" customHeight="1" s="18">
      <c r="C375" s="8" t="n"/>
      <c r="D375" s="8" t="n"/>
      <c r="E375" s="8" t="n"/>
    </row>
    <row r="376" ht="15.75" customHeight="1" s="18">
      <c r="C376" s="8" t="n"/>
      <c r="D376" s="8" t="n"/>
      <c r="E376" s="8" t="n"/>
    </row>
    <row r="377" ht="15.75" customHeight="1" s="18">
      <c r="C377" s="8" t="n"/>
      <c r="D377" s="8" t="n"/>
      <c r="E377" s="8" t="n"/>
    </row>
    <row r="378" ht="15.75" customHeight="1" s="18">
      <c r="C378" s="8" t="n"/>
      <c r="D378" s="8" t="n"/>
      <c r="E378" s="8" t="n"/>
    </row>
    <row r="379" ht="15.75" customHeight="1" s="18">
      <c r="C379" s="8" t="n"/>
      <c r="D379" s="8" t="n"/>
      <c r="E379" s="8" t="n"/>
    </row>
    <row r="380" ht="15.75" customHeight="1" s="18">
      <c r="C380" s="8" t="n"/>
      <c r="D380" s="8" t="n"/>
      <c r="E380" s="8" t="n"/>
    </row>
    <row r="381" ht="15.75" customHeight="1" s="18">
      <c r="C381" s="8" t="n"/>
      <c r="D381" s="8" t="n"/>
      <c r="E381" s="8" t="n"/>
    </row>
    <row r="382" ht="15.75" customHeight="1" s="18">
      <c r="C382" s="8" t="n"/>
      <c r="D382" s="8" t="n"/>
      <c r="E382" s="8" t="n"/>
    </row>
    <row r="383" ht="15.75" customHeight="1" s="18">
      <c r="C383" s="8" t="n"/>
      <c r="D383" s="8" t="n"/>
      <c r="E383" s="8" t="n"/>
    </row>
    <row r="384" ht="15.75" customHeight="1" s="18">
      <c r="C384" s="8" t="n"/>
      <c r="D384" s="8" t="n"/>
      <c r="E384" s="8" t="n"/>
    </row>
    <row r="385" ht="15.75" customHeight="1" s="18">
      <c r="C385" s="8" t="n"/>
      <c r="D385" s="8" t="n"/>
      <c r="E385" s="8" t="n"/>
    </row>
    <row r="386" ht="15.75" customHeight="1" s="18">
      <c r="C386" s="8" t="n"/>
      <c r="D386" s="8" t="n"/>
      <c r="E386" s="8" t="n"/>
    </row>
    <row r="387" ht="15.75" customHeight="1" s="18">
      <c r="C387" s="8" t="n"/>
      <c r="D387" s="8" t="n"/>
      <c r="E387" s="8" t="n"/>
    </row>
    <row r="388" ht="15.75" customHeight="1" s="18">
      <c r="C388" s="8" t="n"/>
      <c r="D388" s="8" t="n"/>
      <c r="E388" s="8" t="n"/>
    </row>
    <row r="389" ht="15.75" customHeight="1" s="18">
      <c r="C389" s="8" t="n"/>
      <c r="D389" s="8" t="n"/>
      <c r="E389" s="8" t="n"/>
    </row>
    <row r="390" ht="15.75" customHeight="1" s="18">
      <c r="C390" s="8" t="n"/>
      <c r="D390" s="8" t="n"/>
      <c r="E390" s="8" t="n"/>
    </row>
    <row r="391" ht="15.75" customHeight="1" s="18">
      <c r="C391" s="8" t="n"/>
      <c r="D391" s="8" t="n"/>
      <c r="E391" s="8" t="n"/>
    </row>
    <row r="392" ht="15.75" customHeight="1" s="18">
      <c r="C392" s="8" t="n"/>
      <c r="D392" s="8" t="n"/>
      <c r="E392" s="8" t="n"/>
    </row>
    <row r="393" ht="15.75" customHeight="1" s="18">
      <c r="C393" s="8" t="n"/>
      <c r="D393" s="8" t="n"/>
      <c r="E393" s="8" t="n"/>
    </row>
    <row r="394" ht="15.75" customHeight="1" s="18">
      <c r="C394" s="8" t="n"/>
      <c r="D394" s="8" t="n"/>
      <c r="E394" s="8" t="n"/>
    </row>
    <row r="395" ht="15.75" customHeight="1" s="18">
      <c r="C395" s="8" t="n"/>
      <c r="D395" s="8" t="n"/>
      <c r="E395" s="8" t="n"/>
    </row>
    <row r="396" ht="15.75" customHeight="1" s="18">
      <c r="C396" s="8" t="n"/>
      <c r="D396" s="8" t="n"/>
      <c r="E396" s="8" t="n"/>
    </row>
    <row r="397" ht="15.75" customHeight="1" s="18">
      <c r="C397" s="8" t="n"/>
      <c r="D397" s="8" t="n"/>
      <c r="E397" s="8" t="n"/>
    </row>
    <row r="398" ht="15.75" customHeight="1" s="18">
      <c r="C398" s="8" t="n"/>
      <c r="D398" s="8" t="n"/>
      <c r="E398" s="8" t="n"/>
    </row>
    <row r="399" ht="15.75" customHeight="1" s="18">
      <c r="C399" s="8" t="n"/>
      <c r="D399" s="8" t="n"/>
      <c r="E399" s="8" t="n"/>
    </row>
    <row r="400" ht="15.75" customHeight="1" s="18">
      <c r="C400" s="8" t="n"/>
      <c r="D400" s="8" t="n"/>
      <c r="E400" s="8" t="n"/>
    </row>
    <row r="401" ht="15.75" customHeight="1" s="18">
      <c r="C401" s="8" t="n"/>
      <c r="D401" s="8" t="n"/>
      <c r="E401" s="8" t="n"/>
    </row>
    <row r="402" ht="15.75" customHeight="1" s="18">
      <c r="C402" s="8" t="n"/>
      <c r="D402" s="8" t="n"/>
      <c r="E402" s="8" t="n"/>
    </row>
    <row r="403" ht="15.75" customHeight="1" s="18">
      <c r="C403" s="8" t="n"/>
      <c r="D403" s="8" t="n"/>
      <c r="E403" s="8" t="n"/>
    </row>
    <row r="404" ht="15.75" customHeight="1" s="18">
      <c r="C404" s="8" t="n"/>
      <c r="D404" s="8" t="n"/>
      <c r="E404" s="8" t="n"/>
    </row>
    <row r="405" ht="15.75" customHeight="1" s="18">
      <c r="C405" s="8" t="n"/>
      <c r="D405" s="8" t="n"/>
      <c r="E405" s="8" t="n"/>
    </row>
    <row r="406" ht="15.75" customHeight="1" s="18">
      <c r="C406" s="8" t="n"/>
      <c r="D406" s="8" t="n"/>
      <c r="E406" s="8" t="n"/>
    </row>
    <row r="407" ht="15.75" customHeight="1" s="18">
      <c r="C407" s="8" t="n"/>
      <c r="D407" s="8" t="n"/>
      <c r="E407" s="8" t="n"/>
    </row>
    <row r="408" ht="15.75" customHeight="1" s="18">
      <c r="C408" s="8" t="n"/>
      <c r="D408" s="8" t="n"/>
      <c r="E408" s="8" t="n"/>
    </row>
    <row r="409" ht="15.75" customHeight="1" s="18">
      <c r="C409" s="8" t="n"/>
      <c r="D409" s="8" t="n"/>
      <c r="E409" s="8" t="n"/>
    </row>
    <row r="410" ht="15.75" customHeight="1" s="18">
      <c r="C410" s="8" t="n"/>
      <c r="D410" s="8" t="n"/>
      <c r="E410" s="8" t="n"/>
    </row>
    <row r="411" ht="15.75" customHeight="1" s="18">
      <c r="C411" s="8" t="n"/>
      <c r="D411" s="8" t="n"/>
      <c r="E411" s="8" t="n"/>
    </row>
    <row r="412" ht="15.75" customHeight="1" s="18">
      <c r="C412" s="8" t="n"/>
      <c r="D412" s="8" t="n"/>
      <c r="E412" s="8" t="n"/>
    </row>
    <row r="413" ht="15.75" customHeight="1" s="18">
      <c r="C413" s="8" t="n"/>
      <c r="D413" s="8" t="n"/>
      <c r="E413" s="8" t="n"/>
    </row>
    <row r="414" ht="15.75" customHeight="1" s="18">
      <c r="C414" s="8" t="n"/>
      <c r="D414" s="8" t="n"/>
      <c r="E414" s="8" t="n"/>
    </row>
    <row r="415" ht="15.75" customHeight="1" s="18">
      <c r="C415" s="8" t="n"/>
      <c r="D415" s="8" t="n"/>
      <c r="E415" s="8" t="n"/>
    </row>
    <row r="416" ht="15.75" customHeight="1" s="18">
      <c r="C416" s="8" t="n"/>
      <c r="D416" s="8" t="n"/>
      <c r="E416" s="8" t="n"/>
    </row>
    <row r="417" ht="15.75" customHeight="1" s="18">
      <c r="C417" s="8" t="n"/>
      <c r="D417" s="8" t="n"/>
      <c r="E417" s="8" t="n"/>
    </row>
    <row r="418" ht="15.75" customHeight="1" s="18">
      <c r="C418" s="8" t="n"/>
      <c r="D418" s="8" t="n"/>
      <c r="E418" s="8" t="n"/>
    </row>
    <row r="419" ht="15.75" customHeight="1" s="18">
      <c r="C419" s="8" t="n"/>
      <c r="D419" s="8" t="n"/>
      <c r="E419" s="8" t="n"/>
    </row>
    <row r="420" ht="15.75" customHeight="1" s="18">
      <c r="C420" s="8" t="n"/>
      <c r="D420" s="8" t="n"/>
      <c r="E420" s="8" t="n"/>
    </row>
    <row r="421" ht="15.75" customHeight="1" s="18">
      <c r="C421" s="8" t="n"/>
      <c r="D421" s="8" t="n"/>
      <c r="E421" s="8" t="n"/>
    </row>
    <row r="422" ht="15.75" customHeight="1" s="18">
      <c r="C422" s="8" t="n"/>
      <c r="D422" s="8" t="n"/>
      <c r="E422" s="8" t="n"/>
    </row>
    <row r="423" ht="15.75" customHeight="1" s="18">
      <c r="C423" s="8" t="n"/>
      <c r="D423" s="8" t="n"/>
      <c r="E423" s="8" t="n"/>
    </row>
    <row r="424" ht="15.75" customHeight="1" s="18">
      <c r="C424" s="8" t="n"/>
      <c r="D424" s="8" t="n"/>
      <c r="E424" s="8" t="n"/>
    </row>
    <row r="425" ht="15.75" customHeight="1" s="18">
      <c r="C425" s="8" t="n"/>
      <c r="D425" s="8" t="n"/>
      <c r="E425" s="8" t="n"/>
    </row>
    <row r="426" ht="15.75" customHeight="1" s="18">
      <c r="C426" s="8" t="n"/>
      <c r="D426" s="8" t="n"/>
      <c r="E426" s="8" t="n"/>
    </row>
    <row r="427" ht="15.75" customHeight="1" s="18">
      <c r="C427" s="8" t="n"/>
      <c r="D427" s="8" t="n"/>
      <c r="E427" s="8" t="n"/>
    </row>
    <row r="428" ht="15.75" customHeight="1" s="18">
      <c r="C428" s="8" t="n"/>
      <c r="D428" s="8" t="n"/>
      <c r="E428" s="8" t="n"/>
    </row>
    <row r="429" ht="15.75" customHeight="1" s="18">
      <c r="C429" s="8" t="n"/>
      <c r="D429" s="8" t="n"/>
      <c r="E429" s="8" t="n"/>
    </row>
    <row r="430" ht="15.75" customHeight="1" s="18">
      <c r="C430" s="8" t="n"/>
      <c r="D430" s="8" t="n"/>
      <c r="E430" s="8" t="n"/>
    </row>
    <row r="431" ht="15.75" customHeight="1" s="18">
      <c r="C431" s="8" t="n"/>
      <c r="D431" s="8" t="n"/>
      <c r="E431" s="8" t="n"/>
    </row>
    <row r="432" ht="15.75" customHeight="1" s="18">
      <c r="C432" s="8" t="n"/>
      <c r="D432" s="8" t="n"/>
      <c r="E432" s="8" t="n"/>
    </row>
    <row r="433" ht="15.75" customHeight="1" s="18">
      <c r="C433" s="8" t="n"/>
      <c r="D433" s="8" t="n"/>
      <c r="E433" s="8" t="n"/>
    </row>
    <row r="434" ht="15.75" customHeight="1" s="18">
      <c r="C434" s="8" t="n"/>
      <c r="D434" s="8" t="n"/>
      <c r="E434" s="8" t="n"/>
    </row>
    <row r="435" ht="15.75" customHeight="1" s="18">
      <c r="C435" s="8" t="n"/>
      <c r="D435" s="8" t="n"/>
      <c r="E435" s="8" t="n"/>
    </row>
    <row r="436" ht="15.75" customHeight="1" s="18">
      <c r="C436" s="8" t="n"/>
      <c r="D436" s="8" t="n"/>
      <c r="E436" s="8" t="n"/>
    </row>
    <row r="437" ht="15.75" customHeight="1" s="18">
      <c r="C437" s="8" t="n"/>
      <c r="D437" s="8" t="n"/>
      <c r="E437" s="8" t="n"/>
    </row>
    <row r="438" ht="15.75" customHeight="1" s="18">
      <c r="C438" s="8" t="n"/>
      <c r="D438" s="8" t="n"/>
      <c r="E438" s="8" t="n"/>
    </row>
    <row r="439" ht="15.75" customHeight="1" s="18">
      <c r="C439" s="8" t="n"/>
      <c r="D439" s="8" t="n"/>
      <c r="E439" s="8" t="n"/>
    </row>
    <row r="440" ht="15.75" customHeight="1" s="18">
      <c r="C440" s="8" t="n"/>
      <c r="D440" s="8" t="n"/>
      <c r="E440" s="8" t="n"/>
    </row>
    <row r="441" ht="15.75" customHeight="1" s="18">
      <c r="C441" s="8" t="n"/>
      <c r="D441" s="8" t="n"/>
      <c r="E441" s="8" t="n"/>
    </row>
    <row r="442" ht="15.75" customHeight="1" s="18">
      <c r="C442" s="8" t="n"/>
      <c r="D442" s="8" t="n"/>
      <c r="E442" s="8" t="n"/>
    </row>
    <row r="443" ht="15.75" customHeight="1" s="18">
      <c r="C443" s="8" t="n"/>
      <c r="D443" s="8" t="n"/>
      <c r="E443" s="8" t="n"/>
    </row>
    <row r="444" ht="15.75" customHeight="1" s="18">
      <c r="C444" s="8" t="n"/>
      <c r="D444" s="8" t="n"/>
      <c r="E444" s="8" t="n"/>
    </row>
    <row r="445" ht="15.75" customHeight="1" s="18">
      <c r="C445" s="8" t="n"/>
      <c r="D445" s="8" t="n"/>
      <c r="E445" s="8" t="n"/>
    </row>
    <row r="446" ht="15.75" customHeight="1" s="18">
      <c r="C446" s="8" t="n"/>
      <c r="D446" s="8" t="n"/>
      <c r="E446" s="8" t="n"/>
    </row>
    <row r="447" ht="15.75" customHeight="1" s="18">
      <c r="C447" s="8" t="n"/>
      <c r="D447" s="8" t="n"/>
      <c r="E447" s="8" t="n"/>
    </row>
    <row r="448" ht="15.75" customHeight="1" s="18">
      <c r="C448" s="8" t="n"/>
      <c r="D448" s="8" t="n"/>
      <c r="E448" s="8" t="n"/>
    </row>
    <row r="449" ht="15.75" customHeight="1" s="18">
      <c r="C449" s="8" t="n"/>
      <c r="D449" s="8" t="n"/>
      <c r="E449" s="8" t="n"/>
    </row>
    <row r="450" ht="15.75" customHeight="1" s="18">
      <c r="C450" s="8" t="n"/>
      <c r="D450" s="8" t="n"/>
      <c r="E450" s="8" t="n"/>
    </row>
    <row r="451" ht="15.75" customHeight="1" s="18">
      <c r="C451" s="8" t="n"/>
      <c r="D451" s="8" t="n"/>
      <c r="E451" s="8" t="n"/>
    </row>
    <row r="452" ht="15.75" customHeight="1" s="18">
      <c r="C452" s="8" t="n"/>
      <c r="D452" s="8" t="n"/>
      <c r="E452" s="8" t="n"/>
    </row>
    <row r="453" ht="15.75" customHeight="1" s="18">
      <c r="C453" s="8" t="n"/>
      <c r="D453" s="8" t="n"/>
      <c r="E453" s="8" t="n"/>
    </row>
    <row r="454" ht="15.75" customHeight="1" s="18">
      <c r="C454" s="8" t="n"/>
      <c r="D454" s="8" t="n"/>
      <c r="E454" s="8" t="n"/>
    </row>
    <row r="455" ht="15.75" customHeight="1" s="18">
      <c r="C455" s="8" t="n"/>
      <c r="D455" s="8" t="n"/>
      <c r="E455" s="8" t="n"/>
    </row>
    <row r="456" ht="15.75" customHeight="1" s="18">
      <c r="C456" s="8" t="n"/>
      <c r="D456" s="8" t="n"/>
      <c r="E456" s="8" t="n"/>
    </row>
    <row r="457" ht="15.75" customHeight="1" s="18">
      <c r="C457" s="8" t="n"/>
      <c r="D457" s="8" t="n"/>
      <c r="E457" s="8" t="n"/>
    </row>
    <row r="458" ht="15.75" customHeight="1" s="18">
      <c r="C458" s="8" t="n"/>
      <c r="D458" s="8" t="n"/>
      <c r="E458" s="8" t="n"/>
    </row>
    <row r="459" ht="15.75" customHeight="1" s="18">
      <c r="C459" s="8" t="n"/>
      <c r="D459" s="8" t="n"/>
      <c r="E459" s="8" t="n"/>
    </row>
    <row r="460" ht="15.75" customHeight="1" s="18">
      <c r="C460" s="8" t="n"/>
      <c r="D460" s="8" t="n"/>
      <c r="E460" s="8" t="n"/>
    </row>
    <row r="461" ht="15.75" customHeight="1" s="18">
      <c r="C461" s="8" t="n"/>
      <c r="D461" s="8" t="n"/>
      <c r="E461" s="8" t="n"/>
    </row>
    <row r="462" ht="15.75" customHeight="1" s="18">
      <c r="C462" s="8" t="n"/>
      <c r="D462" s="8" t="n"/>
      <c r="E462" s="8" t="n"/>
    </row>
    <row r="463" ht="15.75" customHeight="1" s="18">
      <c r="C463" s="8" t="n"/>
      <c r="D463" s="8" t="n"/>
      <c r="E463" s="8" t="n"/>
    </row>
    <row r="464" ht="15.75" customHeight="1" s="18">
      <c r="C464" s="8" t="n"/>
      <c r="D464" s="8" t="n"/>
      <c r="E464" s="8" t="n"/>
    </row>
    <row r="465" ht="15.75" customHeight="1" s="18">
      <c r="C465" s="8" t="n"/>
      <c r="D465" s="8" t="n"/>
      <c r="E465" s="8" t="n"/>
    </row>
    <row r="466" ht="15.75" customHeight="1" s="18">
      <c r="C466" s="8" t="n"/>
      <c r="D466" s="8" t="n"/>
      <c r="E466" s="8" t="n"/>
    </row>
    <row r="467" ht="15.75" customHeight="1" s="18">
      <c r="C467" s="8" t="n"/>
      <c r="D467" s="8" t="n"/>
      <c r="E467" s="8" t="n"/>
    </row>
    <row r="468" ht="15.75" customHeight="1" s="18">
      <c r="C468" s="8" t="n"/>
      <c r="D468" s="8" t="n"/>
      <c r="E468" s="8" t="n"/>
    </row>
    <row r="469" ht="15.75" customHeight="1" s="18">
      <c r="C469" s="8" t="n"/>
      <c r="D469" s="8" t="n"/>
      <c r="E469" s="8" t="n"/>
    </row>
    <row r="470" ht="15.75" customHeight="1" s="18">
      <c r="C470" s="8" t="n"/>
      <c r="D470" s="8" t="n"/>
      <c r="E470" s="8" t="n"/>
    </row>
    <row r="471" ht="15.75" customHeight="1" s="18">
      <c r="C471" s="8" t="n"/>
      <c r="D471" s="8" t="n"/>
      <c r="E471" s="8" t="n"/>
    </row>
    <row r="472" ht="15.75" customHeight="1" s="18">
      <c r="C472" s="8" t="n"/>
      <c r="D472" s="8" t="n"/>
      <c r="E472" s="8" t="n"/>
    </row>
    <row r="473" ht="15.75" customHeight="1" s="18">
      <c r="C473" s="8" t="n"/>
      <c r="D473" s="8" t="n"/>
      <c r="E473" s="8" t="n"/>
    </row>
    <row r="474" ht="15.75" customHeight="1" s="18">
      <c r="C474" s="8" t="n"/>
      <c r="D474" s="8" t="n"/>
      <c r="E474" s="8" t="n"/>
    </row>
    <row r="475" ht="15.75" customHeight="1" s="18">
      <c r="C475" s="8" t="n"/>
      <c r="D475" s="8" t="n"/>
      <c r="E475" s="8" t="n"/>
    </row>
    <row r="476" ht="15.75" customHeight="1" s="18">
      <c r="C476" s="8" t="n"/>
      <c r="D476" s="8" t="n"/>
      <c r="E476" s="8" t="n"/>
    </row>
    <row r="477" ht="15.75" customHeight="1" s="18">
      <c r="C477" s="8" t="n"/>
      <c r="D477" s="8" t="n"/>
      <c r="E477" s="8" t="n"/>
    </row>
    <row r="478" ht="15.75" customHeight="1" s="18">
      <c r="C478" s="8" t="n"/>
      <c r="D478" s="8" t="n"/>
      <c r="E478" s="8" t="n"/>
    </row>
    <row r="479" ht="15.75" customHeight="1" s="18">
      <c r="C479" s="8" t="n"/>
      <c r="D479" s="8" t="n"/>
      <c r="E479" s="8" t="n"/>
    </row>
    <row r="480" ht="15.75" customHeight="1" s="18">
      <c r="C480" s="8" t="n"/>
      <c r="D480" s="8" t="n"/>
      <c r="E480" s="8" t="n"/>
    </row>
    <row r="481" ht="15.75" customHeight="1" s="18">
      <c r="C481" s="8" t="n"/>
      <c r="D481" s="8" t="n"/>
      <c r="E481" s="8" t="n"/>
    </row>
    <row r="482" ht="15.75" customHeight="1" s="18">
      <c r="C482" s="8" t="n"/>
      <c r="D482" s="8" t="n"/>
      <c r="E482" s="8" t="n"/>
    </row>
    <row r="483" ht="15.75" customHeight="1" s="18">
      <c r="C483" s="8" t="n"/>
      <c r="D483" s="8" t="n"/>
      <c r="E483" s="8" t="n"/>
    </row>
    <row r="484" ht="15.75" customHeight="1" s="18">
      <c r="C484" s="8" t="n"/>
      <c r="D484" s="8" t="n"/>
      <c r="E484" s="8" t="n"/>
    </row>
    <row r="485" ht="15.75" customHeight="1" s="18">
      <c r="C485" s="8" t="n"/>
      <c r="D485" s="8" t="n"/>
      <c r="E485" s="8" t="n"/>
    </row>
    <row r="486" ht="15.75" customHeight="1" s="18">
      <c r="C486" s="8" t="n"/>
      <c r="D486" s="8" t="n"/>
      <c r="E486" s="8" t="n"/>
    </row>
    <row r="487" ht="15.75" customHeight="1" s="18">
      <c r="C487" s="8" t="n"/>
      <c r="D487" s="8" t="n"/>
      <c r="E487" s="8" t="n"/>
    </row>
    <row r="488" ht="15.75" customHeight="1" s="18">
      <c r="C488" s="8" t="n"/>
      <c r="D488" s="8" t="n"/>
      <c r="E488" s="8" t="n"/>
    </row>
    <row r="489" ht="15.75" customHeight="1" s="18">
      <c r="C489" s="8" t="n"/>
      <c r="D489" s="8" t="n"/>
      <c r="E489" s="8" t="n"/>
    </row>
    <row r="490" ht="15.75" customHeight="1" s="18">
      <c r="C490" s="8" t="n"/>
      <c r="D490" s="8" t="n"/>
      <c r="E490" s="8" t="n"/>
    </row>
    <row r="491" ht="15.75" customHeight="1" s="18">
      <c r="C491" s="8" t="n"/>
      <c r="D491" s="8" t="n"/>
      <c r="E491" s="8" t="n"/>
    </row>
    <row r="492" ht="15.75" customHeight="1" s="18">
      <c r="C492" s="8" t="n"/>
      <c r="D492" s="8" t="n"/>
      <c r="E492" s="8" t="n"/>
    </row>
    <row r="493" ht="15.75" customHeight="1" s="18">
      <c r="C493" s="8" t="n"/>
      <c r="D493" s="8" t="n"/>
      <c r="E493" s="8" t="n"/>
    </row>
    <row r="494" ht="15.75" customHeight="1" s="18">
      <c r="C494" s="8" t="n"/>
      <c r="D494" s="8" t="n"/>
      <c r="E494" s="8" t="n"/>
    </row>
    <row r="495" ht="15.75" customHeight="1" s="18">
      <c r="C495" s="8" t="n"/>
      <c r="D495" s="8" t="n"/>
      <c r="E495" s="8" t="n"/>
    </row>
    <row r="496" ht="15.75" customHeight="1" s="18">
      <c r="C496" s="8" t="n"/>
      <c r="D496" s="8" t="n"/>
      <c r="E496" s="8" t="n"/>
    </row>
    <row r="497" ht="15.75" customHeight="1" s="18">
      <c r="C497" s="8" t="n"/>
      <c r="D497" s="8" t="n"/>
      <c r="E497" s="8" t="n"/>
    </row>
    <row r="498" ht="15.75" customHeight="1" s="18">
      <c r="C498" s="8" t="n"/>
      <c r="D498" s="8" t="n"/>
      <c r="E498" s="8" t="n"/>
    </row>
    <row r="499" ht="15.75" customHeight="1" s="18">
      <c r="C499" s="8" t="n"/>
      <c r="D499" s="8" t="n"/>
      <c r="E499" s="8" t="n"/>
    </row>
    <row r="500" ht="15.75" customHeight="1" s="18">
      <c r="C500" s="8" t="n"/>
      <c r="D500" s="8" t="n"/>
      <c r="E500" s="8" t="n"/>
    </row>
    <row r="501" ht="15.75" customHeight="1" s="18">
      <c r="C501" s="8" t="n"/>
      <c r="D501" s="8" t="n"/>
      <c r="E501" s="8" t="n"/>
    </row>
    <row r="502" ht="15.75" customHeight="1" s="18">
      <c r="C502" s="8" t="n"/>
      <c r="D502" s="8" t="n"/>
      <c r="E502" s="8" t="n"/>
    </row>
    <row r="503" ht="15.75" customHeight="1" s="18">
      <c r="C503" s="8" t="n"/>
      <c r="D503" s="8" t="n"/>
      <c r="E503" s="8" t="n"/>
    </row>
    <row r="504" ht="15.75" customHeight="1" s="18">
      <c r="C504" s="8" t="n"/>
      <c r="D504" s="8" t="n"/>
      <c r="E504" s="8" t="n"/>
    </row>
    <row r="505" ht="15.75" customHeight="1" s="18">
      <c r="C505" s="8" t="n"/>
      <c r="D505" s="8" t="n"/>
      <c r="E505" s="8" t="n"/>
    </row>
    <row r="506" ht="15.75" customHeight="1" s="18">
      <c r="C506" s="8" t="n"/>
      <c r="D506" s="8" t="n"/>
      <c r="E506" s="8" t="n"/>
    </row>
    <row r="507" ht="15.75" customHeight="1" s="18">
      <c r="C507" s="8" t="n"/>
      <c r="D507" s="8" t="n"/>
      <c r="E507" s="8" t="n"/>
    </row>
    <row r="508" ht="15.75" customHeight="1" s="18">
      <c r="C508" s="8" t="n"/>
      <c r="D508" s="8" t="n"/>
      <c r="E508" s="8" t="n"/>
    </row>
    <row r="509" ht="15.75" customHeight="1" s="18">
      <c r="C509" s="8" t="n"/>
      <c r="D509" s="8" t="n"/>
      <c r="E509" s="8" t="n"/>
    </row>
    <row r="510" ht="15.75" customHeight="1" s="18">
      <c r="C510" s="8" t="n"/>
      <c r="D510" s="8" t="n"/>
      <c r="E510" s="8" t="n"/>
    </row>
    <row r="511" ht="15.75" customHeight="1" s="18">
      <c r="C511" s="8" t="n"/>
      <c r="D511" s="8" t="n"/>
      <c r="E511" s="8" t="n"/>
    </row>
    <row r="512" ht="15.75" customHeight="1" s="18">
      <c r="C512" s="8" t="n"/>
      <c r="D512" s="8" t="n"/>
      <c r="E512" s="8" t="n"/>
    </row>
    <row r="513" ht="15.75" customHeight="1" s="18">
      <c r="C513" s="8" t="n"/>
      <c r="D513" s="8" t="n"/>
      <c r="E513" s="8" t="n"/>
    </row>
    <row r="514" ht="15.75" customHeight="1" s="18">
      <c r="C514" s="8" t="n"/>
      <c r="D514" s="8" t="n"/>
      <c r="E514" s="8" t="n"/>
    </row>
    <row r="515" ht="15.75" customHeight="1" s="18">
      <c r="C515" s="8" t="n"/>
      <c r="D515" s="8" t="n"/>
      <c r="E515" s="8" t="n"/>
    </row>
    <row r="516" ht="15.75" customHeight="1" s="18">
      <c r="C516" s="8" t="n"/>
      <c r="D516" s="8" t="n"/>
      <c r="E516" s="8" t="n"/>
    </row>
    <row r="517" ht="15.75" customHeight="1" s="18">
      <c r="C517" s="8" t="n"/>
      <c r="D517" s="8" t="n"/>
      <c r="E517" s="8" t="n"/>
    </row>
    <row r="518" ht="15.75" customHeight="1" s="18">
      <c r="C518" s="8" t="n"/>
      <c r="D518" s="8" t="n"/>
      <c r="E518" s="8" t="n"/>
    </row>
    <row r="519" ht="15.75" customHeight="1" s="18">
      <c r="C519" s="8" t="n"/>
      <c r="D519" s="8" t="n"/>
      <c r="E519" s="8" t="n"/>
    </row>
    <row r="520" ht="15.75" customHeight="1" s="18">
      <c r="C520" s="8" t="n"/>
      <c r="D520" s="8" t="n"/>
      <c r="E520" s="8" t="n"/>
    </row>
    <row r="521" ht="15.75" customHeight="1" s="18">
      <c r="C521" s="8" t="n"/>
      <c r="D521" s="8" t="n"/>
      <c r="E521" s="8" t="n"/>
    </row>
    <row r="522" ht="15.75" customHeight="1" s="18">
      <c r="C522" s="8" t="n"/>
      <c r="D522" s="8" t="n"/>
      <c r="E522" s="8" t="n"/>
    </row>
    <row r="523" ht="15.75" customHeight="1" s="18">
      <c r="C523" s="8" t="n"/>
      <c r="D523" s="8" t="n"/>
      <c r="E523" s="8" t="n"/>
    </row>
    <row r="524" ht="15.75" customHeight="1" s="18">
      <c r="C524" s="8" t="n"/>
      <c r="D524" s="8" t="n"/>
      <c r="E524" s="8" t="n"/>
    </row>
    <row r="525" ht="15.75" customHeight="1" s="18">
      <c r="C525" s="8" t="n"/>
      <c r="D525" s="8" t="n"/>
      <c r="E525" s="8" t="n"/>
    </row>
    <row r="526" ht="15.75" customHeight="1" s="18">
      <c r="C526" s="8" t="n"/>
      <c r="D526" s="8" t="n"/>
      <c r="E526" s="8" t="n"/>
    </row>
    <row r="527" ht="15.75" customHeight="1" s="18">
      <c r="C527" s="8" t="n"/>
      <c r="D527" s="8" t="n"/>
      <c r="E527" s="8" t="n"/>
    </row>
    <row r="528" ht="15.75" customHeight="1" s="18">
      <c r="C528" s="8" t="n"/>
      <c r="D528" s="8" t="n"/>
      <c r="E528" s="8" t="n"/>
    </row>
    <row r="529" ht="15.75" customHeight="1" s="18">
      <c r="C529" s="8" t="n"/>
      <c r="D529" s="8" t="n"/>
      <c r="E529" s="8" t="n"/>
    </row>
    <row r="530" ht="15.75" customHeight="1" s="18">
      <c r="C530" s="8" t="n"/>
      <c r="D530" s="8" t="n"/>
      <c r="E530" s="8" t="n"/>
    </row>
    <row r="531" ht="15.75" customHeight="1" s="18">
      <c r="C531" s="8" t="n"/>
      <c r="D531" s="8" t="n"/>
      <c r="E531" s="8" t="n"/>
    </row>
    <row r="532" ht="15.75" customHeight="1" s="18">
      <c r="C532" s="8" t="n"/>
      <c r="D532" s="8" t="n"/>
      <c r="E532" s="8" t="n"/>
    </row>
    <row r="533" ht="15.75" customHeight="1" s="18">
      <c r="C533" s="8" t="n"/>
      <c r="D533" s="8" t="n"/>
      <c r="E533" s="8" t="n"/>
    </row>
    <row r="534" ht="15.75" customHeight="1" s="18">
      <c r="C534" s="8" t="n"/>
      <c r="D534" s="8" t="n"/>
      <c r="E534" s="8" t="n"/>
    </row>
    <row r="535" ht="15.75" customHeight="1" s="18">
      <c r="C535" s="8" t="n"/>
      <c r="D535" s="8" t="n"/>
      <c r="E535" s="8" t="n"/>
    </row>
    <row r="536" ht="15.75" customHeight="1" s="18">
      <c r="C536" s="8" t="n"/>
      <c r="D536" s="8" t="n"/>
      <c r="E536" s="8" t="n"/>
    </row>
    <row r="537" ht="15.75" customHeight="1" s="18">
      <c r="C537" s="8" t="n"/>
      <c r="D537" s="8" t="n"/>
      <c r="E537" s="8" t="n"/>
    </row>
    <row r="538" ht="15.75" customHeight="1" s="18">
      <c r="C538" s="8" t="n"/>
      <c r="D538" s="8" t="n"/>
      <c r="E538" s="8" t="n"/>
    </row>
    <row r="539" ht="15.75" customHeight="1" s="18">
      <c r="C539" s="8" t="n"/>
      <c r="D539" s="8" t="n"/>
      <c r="E539" s="8" t="n"/>
    </row>
    <row r="540" ht="15.75" customHeight="1" s="18">
      <c r="C540" s="8" t="n"/>
      <c r="D540" s="8" t="n"/>
      <c r="E540" s="8" t="n"/>
    </row>
    <row r="541" ht="15.75" customHeight="1" s="18">
      <c r="C541" s="8" t="n"/>
      <c r="D541" s="8" t="n"/>
      <c r="E541" s="8" t="n"/>
    </row>
    <row r="542" ht="15.75" customHeight="1" s="18">
      <c r="C542" s="8" t="n"/>
      <c r="D542" s="8" t="n"/>
      <c r="E542" s="8" t="n"/>
    </row>
    <row r="543" ht="15.75" customHeight="1" s="18">
      <c r="C543" s="8" t="n"/>
      <c r="D543" s="8" t="n"/>
      <c r="E543" s="8" t="n"/>
    </row>
    <row r="544" ht="15.75" customHeight="1" s="18">
      <c r="C544" s="8" t="n"/>
      <c r="D544" s="8" t="n"/>
      <c r="E544" s="8" t="n"/>
    </row>
    <row r="545" ht="15.75" customHeight="1" s="18">
      <c r="C545" s="8" t="n"/>
      <c r="D545" s="8" t="n"/>
      <c r="E545" s="8" t="n"/>
    </row>
    <row r="546" ht="15.75" customHeight="1" s="18">
      <c r="C546" s="8" t="n"/>
      <c r="D546" s="8" t="n"/>
      <c r="E546" s="8" t="n"/>
    </row>
    <row r="547" ht="15.75" customHeight="1" s="18">
      <c r="C547" s="8" t="n"/>
      <c r="D547" s="8" t="n"/>
      <c r="E547" s="8" t="n"/>
    </row>
    <row r="548" ht="15.75" customHeight="1" s="18">
      <c r="C548" s="8" t="n"/>
      <c r="D548" s="8" t="n"/>
      <c r="E548" s="8" t="n"/>
    </row>
    <row r="549" ht="15.75" customHeight="1" s="18">
      <c r="C549" s="8" t="n"/>
      <c r="D549" s="8" t="n"/>
      <c r="E549" s="8" t="n"/>
    </row>
    <row r="550" ht="15.75" customHeight="1" s="18">
      <c r="C550" s="8" t="n"/>
      <c r="D550" s="8" t="n"/>
      <c r="E550" s="8" t="n"/>
    </row>
    <row r="551" ht="15.75" customHeight="1" s="18">
      <c r="C551" s="8" t="n"/>
      <c r="D551" s="8" t="n"/>
      <c r="E551" s="8" t="n"/>
    </row>
    <row r="552" ht="15.75" customHeight="1" s="18">
      <c r="C552" s="8" t="n"/>
      <c r="D552" s="8" t="n"/>
      <c r="E552" s="8" t="n"/>
    </row>
    <row r="553" ht="15.75" customHeight="1" s="18">
      <c r="C553" s="8" t="n"/>
      <c r="D553" s="8" t="n"/>
      <c r="E553" s="8" t="n"/>
    </row>
    <row r="554" ht="15.75" customHeight="1" s="18">
      <c r="C554" s="8" t="n"/>
      <c r="D554" s="8" t="n"/>
      <c r="E554" s="8" t="n"/>
    </row>
    <row r="555" ht="15.75" customHeight="1" s="18">
      <c r="C555" s="8" t="n"/>
      <c r="D555" s="8" t="n"/>
      <c r="E555" s="8" t="n"/>
    </row>
    <row r="556" ht="15.75" customHeight="1" s="18">
      <c r="C556" s="8" t="n"/>
      <c r="D556" s="8" t="n"/>
      <c r="E556" s="8" t="n"/>
    </row>
    <row r="557" ht="15.75" customHeight="1" s="18">
      <c r="C557" s="8" t="n"/>
      <c r="D557" s="8" t="n"/>
      <c r="E557" s="8" t="n"/>
    </row>
    <row r="558" ht="15.75" customHeight="1" s="18">
      <c r="C558" s="8" t="n"/>
      <c r="D558" s="8" t="n"/>
      <c r="E558" s="8" t="n"/>
    </row>
    <row r="559" ht="15.75" customHeight="1" s="18">
      <c r="C559" s="8" t="n"/>
      <c r="D559" s="8" t="n"/>
      <c r="E559" s="8" t="n"/>
    </row>
    <row r="560" ht="15.75" customHeight="1" s="18">
      <c r="C560" s="8" t="n"/>
      <c r="D560" s="8" t="n"/>
      <c r="E560" s="8" t="n"/>
    </row>
    <row r="561" ht="15.75" customHeight="1" s="18">
      <c r="C561" s="8" t="n"/>
      <c r="D561" s="8" t="n"/>
      <c r="E561" s="8" t="n"/>
    </row>
    <row r="562" ht="15.75" customHeight="1" s="18">
      <c r="C562" s="8" t="n"/>
      <c r="D562" s="8" t="n"/>
      <c r="E562" s="8" t="n"/>
    </row>
    <row r="563" ht="15.75" customHeight="1" s="18">
      <c r="C563" s="8" t="n"/>
      <c r="D563" s="8" t="n"/>
      <c r="E563" s="8" t="n"/>
    </row>
    <row r="564" ht="15.75" customHeight="1" s="18">
      <c r="C564" s="8" t="n"/>
      <c r="D564" s="8" t="n"/>
      <c r="E564" s="8" t="n"/>
    </row>
    <row r="565" ht="15.75" customHeight="1" s="18">
      <c r="C565" s="8" t="n"/>
      <c r="D565" s="8" t="n"/>
      <c r="E565" s="8" t="n"/>
    </row>
    <row r="566" ht="15.75" customHeight="1" s="18">
      <c r="C566" s="8" t="n"/>
      <c r="D566" s="8" t="n"/>
      <c r="E566" s="8" t="n"/>
    </row>
    <row r="567" ht="15.75" customHeight="1" s="18">
      <c r="C567" s="8" t="n"/>
      <c r="D567" s="8" t="n"/>
      <c r="E567" s="8" t="n"/>
    </row>
    <row r="568" ht="15.75" customHeight="1" s="18">
      <c r="C568" s="8" t="n"/>
      <c r="D568" s="8" t="n"/>
      <c r="E568" s="8" t="n"/>
    </row>
    <row r="569" ht="15.75" customHeight="1" s="18">
      <c r="C569" s="8" t="n"/>
      <c r="D569" s="8" t="n"/>
      <c r="E569" s="8" t="n"/>
    </row>
    <row r="570" ht="15.75" customHeight="1" s="18">
      <c r="C570" s="8" t="n"/>
      <c r="D570" s="8" t="n"/>
      <c r="E570" s="8" t="n"/>
    </row>
    <row r="571" ht="15.75" customHeight="1" s="18">
      <c r="C571" s="8" t="n"/>
      <c r="D571" s="8" t="n"/>
      <c r="E571" s="8" t="n"/>
    </row>
    <row r="572" ht="15.75" customHeight="1" s="18">
      <c r="C572" s="8" t="n"/>
      <c r="D572" s="8" t="n"/>
      <c r="E572" s="8" t="n"/>
    </row>
    <row r="573" ht="15.75" customHeight="1" s="18">
      <c r="C573" s="8" t="n"/>
      <c r="D573" s="8" t="n"/>
      <c r="E573" s="8" t="n"/>
    </row>
    <row r="574" ht="15.75" customHeight="1" s="18">
      <c r="C574" s="8" t="n"/>
      <c r="D574" s="8" t="n"/>
      <c r="E574" s="8" t="n"/>
    </row>
    <row r="575" ht="15.75" customHeight="1" s="18">
      <c r="C575" s="8" t="n"/>
      <c r="D575" s="8" t="n"/>
      <c r="E575" s="8" t="n"/>
    </row>
    <row r="576" ht="15.75" customHeight="1" s="18">
      <c r="C576" s="8" t="n"/>
      <c r="D576" s="8" t="n"/>
      <c r="E576" s="8" t="n"/>
    </row>
    <row r="577" ht="15.75" customHeight="1" s="18">
      <c r="C577" s="8" t="n"/>
      <c r="D577" s="8" t="n"/>
      <c r="E577" s="8" t="n"/>
    </row>
    <row r="578" ht="15.75" customHeight="1" s="18">
      <c r="C578" s="8" t="n"/>
      <c r="D578" s="8" t="n"/>
      <c r="E578" s="8" t="n"/>
    </row>
    <row r="579" ht="15.75" customHeight="1" s="18">
      <c r="C579" s="8" t="n"/>
      <c r="D579" s="8" t="n"/>
      <c r="E579" s="8" t="n"/>
    </row>
    <row r="580" ht="15.75" customHeight="1" s="18">
      <c r="C580" s="8" t="n"/>
      <c r="D580" s="8" t="n"/>
      <c r="E580" s="8" t="n"/>
    </row>
    <row r="581" ht="15.75" customHeight="1" s="18">
      <c r="C581" s="8" t="n"/>
      <c r="D581" s="8" t="n"/>
      <c r="E581" s="8" t="n"/>
    </row>
    <row r="582" ht="15.75" customHeight="1" s="18">
      <c r="C582" s="8" t="n"/>
      <c r="D582" s="8" t="n"/>
      <c r="E582" s="8" t="n"/>
    </row>
    <row r="583" ht="15.75" customHeight="1" s="18">
      <c r="C583" s="8" t="n"/>
      <c r="D583" s="8" t="n"/>
      <c r="E583" s="8" t="n"/>
    </row>
    <row r="584" ht="15.75" customHeight="1" s="18">
      <c r="C584" s="8" t="n"/>
      <c r="D584" s="8" t="n"/>
      <c r="E584" s="8" t="n"/>
    </row>
    <row r="585" ht="15.75" customHeight="1" s="18">
      <c r="C585" s="8" t="n"/>
      <c r="D585" s="8" t="n"/>
      <c r="E585" s="8" t="n"/>
    </row>
    <row r="586" ht="15.75" customHeight="1" s="18">
      <c r="C586" s="8" t="n"/>
      <c r="D586" s="8" t="n"/>
      <c r="E586" s="8" t="n"/>
    </row>
    <row r="587" ht="15.75" customHeight="1" s="18">
      <c r="C587" s="8" t="n"/>
      <c r="D587" s="8" t="n"/>
      <c r="E587" s="8" t="n"/>
    </row>
    <row r="588" ht="15.75" customHeight="1" s="18">
      <c r="C588" s="8" t="n"/>
      <c r="D588" s="8" t="n"/>
      <c r="E588" s="8" t="n"/>
    </row>
    <row r="589" ht="15.75" customHeight="1" s="18">
      <c r="C589" s="8" t="n"/>
      <c r="D589" s="8" t="n"/>
      <c r="E589" s="8" t="n"/>
    </row>
    <row r="590" ht="15.75" customHeight="1" s="18">
      <c r="C590" s="8" t="n"/>
      <c r="D590" s="8" t="n"/>
      <c r="E590" s="8" t="n"/>
    </row>
    <row r="591" ht="15.75" customHeight="1" s="18">
      <c r="C591" s="8" t="n"/>
      <c r="D591" s="8" t="n"/>
      <c r="E591" s="8" t="n"/>
    </row>
    <row r="592" ht="15.75" customHeight="1" s="18">
      <c r="C592" s="8" t="n"/>
      <c r="D592" s="8" t="n"/>
      <c r="E592" s="8" t="n"/>
    </row>
    <row r="593" ht="15.75" customHeight="1" s="18">
      <c r="C593" s="8" t="n"/>
      <c r="D593" s="8" t="n"/>
      <c r="E593" s="8" t="n"/>
    </row>
    <row r="594" ht="15.75" customHeight="1" s="18">
      <c r="C594" s="8" t="n"/>
      <c r="D594" s="8" t="n"/>
      <c r="E594" s="8" t="n"/>
    </row>
    <row r="595" ht="15.75" customHeight="1" s="18">
      <c r="C595" s="8" t="n"/>
      <c r="D595" s="8" t="n"/>
      <c r="E595" s="8" t="n"/>
    </row>
    <row r="596" ht="15.75" customHeight="1" s="18">
      <c r="C596" s="8" t="n"/>
      <c r="D596" s="8" t="n"/>
      <c r="E596" s="8" t="n"/>
    </row>
    <row r="597" ht="15.75" customHeight="1" s="18">
      <c r="C597" s="8" t="n"/>
      <c r="D597" s="8" t="n"/>
      <c r="E597" s="8" t="n"/>
    </row>
    <row r="598" ht="15.75" customHeight="1" s="18">
      <c r="C598" s="8" t="n"/>
      <c r="D598" s="8" t="n"/>
      <c r="E598" s="8" t="n"/>
    </row>
    <row r="599" ht="15.75" customHeight="1" s="18">
      <c r="C599" s="8" t="n"/>
      <c r="D599" s="8" t="n"/>
      <c r="E599" s="8" t="n"/>
    </row>
    <row r="600" ht="15.75" customHeight="1" s="18">
      <c r="C600" s="8" t="n"/>
      <c r="D600" s="8" t="n"/>
      <c r="E600" s="8" t="n"/>
    </row>
    <row r="601" ht="15.75" customHeight="1" s="18">
      <c r="C601" s="8" t="n"/>
      <c r="D601" s="8" t="n"/>
      <c r="E601" s="8" t="n"/>
    </row>
    <row r="602" ht="15.75" customHeight="1" s="18">
      <c r="C602" s="8" t="n"/>
      <c r="D602" s="8" t="n"/>
      <c r="E602" s="8" t="n"/>
    </row>
    <row r="603" ht="15.75" customHeight="1" s="18">
      <c r="C603" s="8" t="n"/>
      <c r="D603" s="8" t="n"/>
      <c r="E603" s="8" t="n"/>
    </row>
    <row r="604" ht="15.75" customHeight="1" s="18">
      <c r="C604" s="8" t="n"/>
      <c r="D604" s="8" t="n"/>
      <c r="E604" s="8" t="n"/>
    </row>
    <row r="605" ht="15.75" customHeight="1" s="18">
      <c r="C605" s="8" t="n"/>
      <c r="D605" s="8" t="n"/>
      <c r="E605" s="8" t="n"/>
    </row>
    <row r="606" ht="15.75" customHeight="1" s="18">
      <c r="C606" s="8" t="n"/>
      <c r="D606" s="8" t="n"/>
      <c r="E606" s="8" t="n"/>
    </row>
    <row r="607" ht="15.75" customHeight="1" s="18">
      <c r="C607" s="8" t="n"/>
      <c r="D607" s="8" t="n"/>
      <c r="E607" s="8" t="n"/>
    </row>
    <row r="608" ht="15.75" customHeight="1" s="18">
      <c r="C608" s="8" t="n"/>
      <c r="D608" s="8" t="n"/>
      <c r="E608" s="8" t="n"/>
    </row>
    <row r="609" ht="15.75" customHeight="1" s="18">
      <c r="C609" s="8" t="n"/>
      <c r="D609" s="8" t="n"/>
      <c r="E609" s="8" t="n"/>
    </row>
    <row r="610" ht="15.75" customHeight="1" s="18">
      <c r="C610" s="8" t="n"/>
      <c r="D610" s="8" t="n"/>
      <c r="E610" s="8" t="n"/>
    </row>
    <row r="611" ht="15.75" customHeight="1" s="18">
      <c r="C611" s="8" t="n"/>
      <c r="D611" s="8" t="n"/>
      <c r="E611" s="8" t="n"/>
    </row>
    <row r="612" ht="15.75" customHeight="1" s="18">
      <c r="C612" s="8" t="n"/>
      <c r="D612" s="8" t="n"/>
      <c r="E612" s="8" t="n"/>
    </row>
    <row r="613" ht="15.75" customHeight="1" s="18">
      <c r="C613" s="8" t="n"/>
      <c r="D613" s="8" t="n"/>
      <c r="E613" s="8" t="n"/>
    </row>
    <row r="614" ht="15.75" customHeight="1" s="18">
      <c r="C614" s="8" t="n"/>
      <c r="D614" s="8" t="n"/>
      <c r="E614" s="8" t="n"/>
    </row>
    <row r="615" ht="15.75" customHeight="1" s="18">
      <c r="C615" s="8" t="n"/>
      <c r="D615" s="8" t="n"/>
      <c r="E615" s="8" t="n"/>
    </row>
    <row r="616" ht="15.75" customHeight="1" s="18">
      <c r="C616" s="8" t="n"/>
      <c r="D616" s="8" t="n"/>
      <c r="E616" s="8" t="n"/>
    </row>
    <row r="617" ht="15.75" customHeight="1" s="18">
      <c r="C617" s="8" t="n"/>
      <c r="D617" s="8" t="n"/>
      <c r="E617" s="8" t="n"/>
    </row>
    <row r="618" ht="15.75" customHeight="1" s="18">
      <c r="C618" s="8" t="n"/>
      <c r="D618" s="8" t="n"/>
      <c r="E618" s="8" t="n"/>
    </row>
    <row r="619" ht="15.75" customHeight="1" s="18">
      <c r="C619" s="8" t="n"/>
      <c r="D619" s="8" t="n"/>
      <c r="E619" s="8" t="n"/>
    </row>
    <row r="620" ht="15.75" customHeight="1" s="18">
      <c r="C620" s="8" t="n"/>
      <c r="D620" s="8" t="n"/>
      <c r="E620" s="8" t="n"/>
    </row>
    <row r="621" ht="15.75" customHeight="1" s="18">
      <c r="C621" s="8" t="n"/>
      <c r="D621" s="8" t="n"/>
      <c r="E621" s="8" t="n"/>
    </row>
    <row r="622" ht="15.75" customHeight="1" s="18">
      <c r="C622" s="8" t="n"/>
      <c r="D622" s="8" t="n"/>
      <c r="E622" s="8" t="n"/>
    </row>
    <row r="623" ht="15.75" customHeight="1" s="18">
      <c r="C623" s="8" t="n"/>
      <c r="D623" s="8" t="n"/>
      <c r="E623" s="8" t="n"/>
    </row>
    <row r="624" ht="15.75" customHeight="1" s="18">
      <c r="C624" s="8" t="n"/>
      <c r="D624" s="8" t="n"/>
      <c r="E624" s="8" t="n"/>
    </row>
    <row r="625" ht="15.75" customHeight="1" s="18">
      <c r="C625" s="8" t="n"/>
      <c r="D625" s="8" t="n"/>
      <c r="E625" s="8" t="n"/>
    </row>
    <row r="626" ht="15.75" customHeight="1" s="18">
      <c r="C626" s="8" t="n"/>
      <c r="D626" s="8" t="n"/>
      <c r="E626" s="8" t="n"/>
    </row>
    <row r="627" ht="15.75" customHeight="1" s="18">
      <c r="C627" s="8" t="n"/>
      <c r="D627" s="8" t="n"/>
      <c r="E627" s="8" t="n"/>
    </row>
    <row r="628" ht="15.75" customHeight="1" s="18">
      <c r="C628" s="8" t="n"/>
      <c r="D628" s="8" t="n"/>
      <c r="E628" s="8" t="n"/>
    </row>
    <row r="629" ht="15.75" customHeight="1" s="18">
      <c r="C629" s="8" t="n"/>
      <c r="D629" s="8" t="n"/>
      <c r="E629" s="8" t="n"/>
    </row>
    <row r="630" ht="15.75" customHeight="1" s="18">
      <c r="C630" s="8" t="n"/>
      <c r="D630" s="8" t="n"/>
      <c r="E630" s="8" t="n"/>
    </row>
    <row r="631" ht="15.75" customHeight="1" s="18">
      <c r="C631" s="8" t="n"/>
      <c r="D631" s="8" t="n"/>
      <c r="E631" s="8" t="n"/>
    </row>
    <row r="632" ht="15.75" customHeight="1" s="18">
      <c r="C632" s="8" t="n"/>
      <c r="D632" s="8" t="n"/>
      <c r="E632" s="8" t="n"/>
    </row>
    <row r="633" ht="15.75" customHeight="1" s="18">
      <c r="C633" s="8" t="n"/>
      <c r="D633" s="8" t="n"/>
      <c r="E633" s="8" t="n"/>
    </row>
    <row r="634" ht="15.75" customHeight="1" s="18">
      <c r="C634" s="8" t="n"/>
      <c r="D634" s="8" t="n"/>
      <c r="E634" s="8" t="n"/>
    </row>
    <row r="635" ht="15.75" customHeight="1" s="18">
      <c r="C635" s="8" t="n"/>
      <c r="D635" s="8" t="n"/>
      <c r="E635" s="8" t="n"/>
    </row>
    <row r="636" ht="15.75" customHeight="1" s="18">
      <c r="C636" s="8" t="n"/>
      <c r="D636" s="8" t="n"/>
      <c r="E636" s="8" t="n"/>
    </row>
    <row r="637" ht="15.75" customHeight="1" s="18">
      <c r="C637" s="8" t="n"/>
      <c r="D637" s="8" t="n"/>
      <c r="E637" s="8" t="n"/>
    </row>
    <row r="638" ht="15.75" customHeight="1" s="18">
      <c r="C638" s="8" t="n"/>
      <c r="D638" s="8" t="n"/>
      <c r="E638" s="8" t="n"/>
    </row>
    <row r="639" ht="15.75" customHeight="1" s="18">
      <c r="C639" s="8" t="n"/>
      <c r="D639" s="8" t="n"/>
      <c r="E639" s="8" t="n"/>
    </row>
    <row r="640" ht="15.75" customHeight="1" s="18">
      <c r="C640" s="8" t="n"/>
      <c r="D640" s="8" t="n"/>
      <c r="E640" s="8" t="n"/>
    </row>
    <row r="641" ht="15.75" customHeight="1" s="18">
      <c r="C641" s="8" t="n"/>
      <c r="D641" s="8" t="n"/>
      <c r="E641" s="8" t="n"/>
    </row>
    <row r="642" ht="15.75" customHeight="1" s="18">
      <c r="C642" s="8" t="n"/>
      <c r="D642" s="8" t="n"/>
      <c r="E642" s="8" t="n"/>
    </row>
    <row r="643" ht="15.75" customHeight="1" s="18">
      <c r="C643" s="8" t="n"/>
      <c r="D643" s="8" t="n"/>
      <c r="E643" s="8" t="n"/>
    </row>
    <row r="644" ht="15.75" customHeight="1" s="18">
      <c r="C644" s="8" t="n"/>
      <c r="D644" s="8" t="n"/>
      <c r="E644" s="8" t="n"/>
    </row>
    <row r="645" ht="15.75" customHeight="1" s="18">
      <c r="C645" s="8" t="n"/>
      <c r="D645" s="8" t="n"/>
      <c r="E645" s="8" t="n"/>
    </row>
    <row r="646" ht="15.75" customHeight="1" s="18">
      <c r="C646" s="8" t="n"/>
      <c r="D646" s="8" t="n"/>
      <c r="E646" s="8" t="n"/>
    </row>
    <row r="647" ht="15.75" customHeight="1" s="18">
      <c r="C647" s="8" t="n"/>
      <c r="D647" s="8" t="n"/>
      <c r="E647" s="8" t="n"/>
    </row>
    <row r="648" ht="15.75" customHeight="1" s="18">
      <c r="C648" s="8" t="n"/>
      <c r="D648" s="8" t="n"/>
      <c r="E648" s="8" t="n"/>
    </row>
    <row r="649" ht="15.75" customHeight="1" s="18">
      <c r="C649" s="8" t="n"/>
      <c r="D649" s="8" t="n"/>
      <c r="E649" s="8" t="n"/>
    </row>
    <row r="650" ht="15.75" customHeight="1" s="18">
      <c r="C650" s="8" t="n"/>
      <c r="D650" s="8" t="n"/>
      <c r="E650" s="8" t="n"/>
    </row>
    <row r="651" ht="15.75" customHeight="1" s="18">
      <c r="C651" s="8" t="n"/>
      <c r="D651" s="8" t="n"/>
      <c r="E651" s="8" t="n"/>
    </row>
    <row r="652" ht="15.75" customHeight="1" s="18">
      <c r="C652" s="8" t="n"/>
      <c r="D652" s="8" t="n"/>
      <c r="E652" s="8" t="n"/>
    </row>
    <row r="653" ht="15.75" customHeight="1" s="18">
      <c r="C653" s="8" t="n"/>
      <c r="D653" s="8" t="n"/>
      <c r="E653" s="8" t="n"/>
    </row>
    <row r="654" ht="15.75" customHeight="1" s="18">
      <c r="C654" s="8" t="n"/>
      <c r="D654" s="8" t="n"/>
      <c r="E654" s="8" t="n"/>
    </row>
    <row r="655" ht="15.75" customHeight="1" s="18">
      <c r="C655" s="8" t="n"/>
      <c r="D655" s="8" t="n"/>
      <c r="E655" s="8" t="n"/>
    </row>
    <row r="656" ht="15.75" customHeight="1" s="18">
      <c r="C656" s="8" t="n"/>
      <c r="D656" s="8" t="n"/>
      <c r="E656" s="8" t="n"/>
    </row>
    <row r="657" ht="15.75" customHeight="1" s="18">
      <c r="C657" s="8" t="n"/>
      <c r="D657" s="8" t="n"/>
      <c r="E657" s="8" t="n"/>
    </row>
    <row r="658" ht="15.75" customHeight="1" s="18">
      <c r="C658" s="8" t="n"/>
      <c r="D658" s="8" t="n"/>
      <c r="E658" s="8" t="n"/>
    </row>
    <row r="659" ht="15.75" customHeight="1" s="18">
      <c r="C659" s="8" t="n"/>
      <c r="D659" s="8" t="n"/>
      <c r="E659" s="8" t="n"/>
    </row>
    <row r="660" ht="15.75" customHeight="1" s="18">
      <c r="C660" s="8" t="n"/>
      <c r="D660" s="8" t="n"/>
      <c r="E660" s="8" t="n"/>
    </row>
    <row r="661" ht="15.75" customHeight="1" s="18">
      <c r="C661" s="8" t="n"/>
      <c r="D661" s="8" t="n"/>
      <c r="E661" s="8" t="n"/>
    </row>
    <row r="662" ht="15.75" customHeight="1" s="18">
      <c r="C662" s="8" t="n"/>
      <c r="D662" s="8" t="n"/>
      <c r="E662" s="8" t="n"/>
    </row>
    <row r="663" ht="15.75" customHeight="1" s="18">
      <c r="C663" s="8" t="n"/>
      <c r="D663" s="8" t="n"/>
      <c r="E663" s="8" t="n"/>
    </row>
    <row r="664" ht="15.75" customHeight="1" s="18">
      <c r="C664" s="8" t="n"/>
      <c r="D664" s="8" t="n"/>
      <c r="E664" s="8" t="n"/>
    </row>
    <row r="665" ht="15.75" customHeight="1" s="18">
      <c r="C665" s="8" t="n"/>
      <c r="D665" s="8" t="n"/>
      <c r="E665" s="8" t="n"/>
    </row>
    <row r="666" ht="15.75" customHeight="1" s="18">
      <c r="C666" s="8" t="n"/>
      <c r="D666" s="8" t="n"/>
      <c r="E666" s="8" t="n"/>
    </row>
    <row r="667" ht="15.75" customHeight="1" s="18">
      <c r="C667" s="8" t="n"/>
      <c r="D667" s="8" t="n"/>
      <c r="E667" s="8" t="n"/>
    </row>
    <row r="668" ht="15.75" customHeight="1" s="18">
      <c r="C668" s="8" t="n"/>
      <c r="D668" s="8" t="n"/>
      <c r="E668" s="8" t="n"/>
    </row>
    <row r="669" ht="15.75" customHeight="1" s="18">
      <c r="C669" s="8" t="n"/>
      <c r="D669" s="8" t="n"/>
      <c r="E669" s="8" t="n"/>
    </row>
    <row r="670" ht="15.75" customHeight="1" s="18">
      <c r="C670" s="8" t="n"/>
      <c r="D670" s="8" t="n"/>
      <c r="E670" s="8" t="n"/>
    </row>
    <row r="671" ht="15.75" customHeight="1" s="18">
      <c r="C671" s="8" t="n"/>
      <c r="D671" s="8" t="n"/>
      <c r="E671" s="8" t="n"/>
    </row>
    <row r="672" ht="15.75" customHeight="1" s="18">
      <c r="C672" s="8" t="n"/>
      <c r="D672" s="8" t="n"/>
      <c r="E672" s="8" t="n"/>
    </row>
    <row r="673" ht="15.75" customHeight="1" s="18">
      <c r="C673" s="8" t="n"/>
      <c r="D673" s="8" t="n"/>
      <c r="E673" s="8" t="n"/>
    </row>
    <row r="674" ht="15.75" customHeight="1" s="18">
      <c r="C674" s="8" t="n"/>
      <c r="D674" s="8" t="n"/>
      <c r="E674" s="8" t="n"/>
    </row>
    <row r="675" ht="15.75" customHeight="1" s="18">
      <c r="C675" s="8" t="n"/>
      <c r="D675" s="8" t="n"/>
      <c r="E675" s="8" t="n"/>
    </row>
    <row r="676" ht="15.75" customHeight="1" s="18">
      <c r="C676" s="8" t="n"/>
      <c r="D676" s="8" t="n"/>
      <c r="E676" s="8" t="n"/>
    </row>
    <row r="677" ht="15.75" customHeight="1" s="18">
      <c r="C677" s="8" t="n"/>
      <c r="D677" s="8" t="n"/>
      <c r="E677" s="8" t="n"/>
    </row>
    <row r="678" ht="15.75" customHeight="1" s="18">
      <c r="C678" s="8" t="n"/>
      <c r="D678" s="8" t="n"/>
      <c r="E678" s="8" t="n"/>
    </row>
    <row r="679" ht="15.75" customHeight="1" s="18">
      <c r="C679" s="8" t="n"/>
      <c r="D679" s="8" t="n"/>
      <c r="E679" s="8" t="n"/>
    </row>
    <row r="680" ht="15.75" customHeight="1" s="18">
      <c r="C680" s="8" t="n"/>
      <c r="D680" s="8" t="n"/>
      <c r="E680" s="8" t="n"/>
    </row>
    <row r="681" ht="15.75" customHeight="1" s="18">
      <c r="C681" s="8" t="n"/>
      <c r="D681" s="8" t="n"/>
      <c r="E681" s="8" t="n"/>
    </row>
    <row r="682" ht="15.75" customHeight="1" s="18">
      <c r="C682" s="8" t="n"/>
      <c r="D682" s="8" t="n"/>
      <c r="E682" s="8" t="n"/>
    </row>
    <row r="683" ht="15.75" customHeight="1" s="18">
      <c r="C683" s="8" t="n"/>
      <c r="D683" s="8" t="n"/>
      <c r="E683" s="8" t="n"/>
    </row>
    <row r="684" ht="15.75" customHeight="1" s="18">
      <c r="C684" s="8" t="n"/>
      <c r="D684" s="8" t="n"/>
      <c r="E684" s="8" t="n"/>
    </row>
    <row r="685" ht="15.75" customHeight="1" s="18">
      <c r="C685" s="8" t="n"/>
      <c r="D685" s="8" t="n"/>
      <c r="E685" s="8" t="n"/>
    </row>
    <row r="686" ht="15.75" customHeight="1" s="18">
      <c r="C686" s="8" t="n"/>
      <c r="D686" s="8" t="n"/>
      <c r="E686" s="8" t="n"/>
    </row>
    <row r="687" ht="15.75" customHeight="1" s="18">
      <c r="C687" s="8" t="n"/>
      <c r="D687" s="8" t="n"/>
      <c r="E687" s="8" t="n"/>
    </row>
    <row r="688" ht="15.75" customHeight="1" s="18">
      <c r="C688" s="8" t="n"/>
      <c r="D688" s="8" t="n"/>
      <c r="E688" s="8" t="n"/>
    </row>
    <row r="689" ht="15.75" customHeight="1" s="18">
      <c r="C689" s="8" t="n"/>
      <c r="D689" s="8" t="n"/>
      <c r="E689" s="8" t="n"/>
    </row>
    <row r="690" ht="15.75" customHeight="1" s="18">
      <c r="C690" s="8" t="n"/>
      <c r="D690" s="8" t="n"/>
      <c r="E690" s="8" t="n"/>
    </row>
    <row r="691" ht="15.75" customHeight="1" s="18">
      <c r="C691" s="8" t="n"/>
      <c r="D691" s="8" t="n"/>
      <c r="E691" s="8" t="n"/>
    </row>
    <row r="692" ht="15.75" customHeight="1" s="18">
      <c r="C692" s="8" t="n"/>
      <c r="D692" s="8" t="n"/>
      <c r="E692" s="8" t="n"/>
    </row>
    <row r="693" ht="15.75" customHeight="1" s="18">
      <c r="C693" s="8" t="n"/>
      <c r="D693" s="8" t="n"/>
      <c r="E693" s="8" t="n"/>
    </row>
    <row r="694" ht="15.75" customHeight="1" s="18">
      <c r="C694" s="8" t="n"/>
      <c r="D694" s="8" t="n"/>
      <c r="E694" s="8" t="n"/>
    </row>
    <row r="695" ht="15.75" customHeight="1" s="18">
      <c r="C695" s="8" t="n"/>
      <c r="D695" s="8" t="n"/>
      <c r="E695" s="8" t="n"/>
    </row>
    <row r="696" ht="15.75" customHeight="1" s="18">
      <c r="C696" s="8" t="n"/>
      <c r="D696" s="8" t="n"/>
      <c r="E696" s="8" t="n"/>
    </row>
    <row r="697" ht="15.75" customHeight="1" s="18">
      <c r="C697" s="8" t="n"/>
      <c r="D697" s="8" t="n"/>
      <c r="E697" s="8" t="n"/>
    </row>
    <row r="698" ht="15.75" customHeight="1" s="18">
      <c r="C698" s="8" t="n"/>
      <c r="D698" s="8" t="n"/>
      <c r="E698" s="8" t="n"/>
    </row>
    <row r="699" ht="15.75" customHeight="1" s="18">
      <c r="C699" s="8" t="n"/>
      <c r="D699" s="8" t="n"/>
      <c r="E699" s="8" t="n"/>
    </row>
    <row r="700" ht="15.75" customHeight="1" s="18">
      <c r="C700" s="8" t="n"/>
      <c r="D700" s="8" t="n"/>
      <c r="E700" s="8" t="n"/>
    </row>
    <row r="701" ht="15.75" customHeight="1" s="18">
      <c r="C701" s="8" t="n"/>
      <c r="D701" s="8" t="n"/>
      <c r="E701" s="8" t="n"/>
    </row>
    <row r="702" ht="15.75" customHeight="1" s="18">
      <c r="C702" s="8" t="n"/>
      <c r="D702" s="8" t="n"/>
      <c r="E702" s="8" t="n"/>
    </row>
    <row r="703" ht="15.75" customHeight="1" s="18">
      <c r="C703" s="8" t="n"/>
      <c r="D703" s="8" t="n"/>
      <c r="E703" s="8" t="n"/>
    </row>
    <row r="704" ht="15.75" customHeight="1" s="18">
      <c r="C704" s="8" t="n"/>
      <c r="D704" s="8" t="n"/>
      <c r="E704" s="8" t="n"/>
    </row>
    <row r="705" ht="15.75" customHeight="1" s="18">
      <c r="C705" s="8" t="n"/>
      <c r="D705" s="8" t="n"/>
      <c r="E705" s="8" t="n"/>
    </row>
    <row r="706" ht="15.75" customHeight="1" s="18">
      <c r="C706" s="8" t="n"/>
      <c r="D706" s="8" t="n"/>
      <c r="E706" s="8" t="n"/>
    </row>
    <row r="707" ht="15.75" customHeight="1" s="18">
      <c r="C707" s="8" t="n"/>
      <c r="D707" s="8" t="n"/>
      <c r="E707" s="8" t="n"/>
    </row>
    <row r="708" ht="15.75" customHeight="1" s="18">
      <c r="C708" s="8" t="n"/>
      <c r="D708" s="8" t="n"/>
      <c r="E708" s="8" t="n"/>
    </row>
    <row r="709" ht="15.75" customHeight="1" s="18">
      <c r="C709" s="8" t="n"/>
      <c r="D709" s="8" t="n"/>
      <c r="E709" s="8" t="n"/>
    </row>
    <row r="710" ht="15.75" customHeight="1" s="18">
      <c r="C710" s="8" t="n"/>
      <c r="D710" s="8" t="n"/>
      <c r="E710" s="8" t="n"/>
    </row>
    <row r="711" ht="15.75" customHeight="1" s="18">
      <c r="C711" s="8" t="n"/>
      <c r="D711" s="8" t="n"/>
      <c r="E711" s="8" t="n"/>
    </row>
    <row r="712" ht="15.75" customHeight="1" s="18">
      <c r="C712" s="8" t="n"/>
      <c r="D712" s="8" t="n"/>
      <c r="E712" s="8" t="n"/>
    </row>
    <row r="713" ht="15.75" customHeight="1" s="18">
      <c r="C713" s="8" t="n"/>
      <c r="D713" s="8" t="n"/>
      <c r="E713" s="8" t="n"/>
    </row>
    <row r="714" ht="15.75" customHeight="1" s="18">
      <c r="C714" s="8" t="n"/>
      <c r="D714" s="8" t="n"/>
      <c r="E714" s="8" t="n"/>
    </row>
    <row r="715" ht="15.75" customHeight="1" s="18">
      <c r="C715" s="8" t="n"/>
      <c r="D715" s="8" t="n"/>
      <c r="E715" s="8" t="n"/>
    </row>
    <row r="716" ht="15.75" customHeight="1" s="18">
      <c r="C716" s="8" t="n"/>
      <c r="D716" s="8" t="n"/>
      <c r="E716" s="8" t="n"/>
    </row>
    <row r="717" ht="15.75" customHeight="1" s="18">
      <c r="C717" s="8" t="n"/>
      <c r="D717" s="8" t="n"/>
      <c r="E717" s="8" t="n"/>
    </row>
    <row r="718" ht="15.75" customHeight="1" s="18">
      <c r="C718" s="8" t="n"/>
      <c r="D718" s="8" t="n"/>
      <c r="E718" s="8" t="n"/>
    </row>
    <row r="719" ht="15.75" customHeight="1" s="18">
      <c r="C719" s="8" t="n"/>
      <c r="D719" s="8" t="n"/>
      <c r="E719" s="8" t="n"/>
    </row>
    <row r="720" ht="15.75" customHeight="1" s="18">
      <c r="C720" s="8" t="n"/>
      <c r="D720" s="8" t="n"/>
      <c r="E720" s="8" t="n"/>
    </row>
    <row r="721" ht="15.75" customHeight="1" s="18">
      <c r="C721" s="8" t="n"/>
      <c r="D721" s="8" t="n"/>
      <c r="E721" s="8" t="n"/>
    </row>
    <row r="722" ht="15.75" customHeight="1" s="18">
      <c r="C722" s="8" t="n"/>
      <c r="D722" s="8" t="n"/>
      <c r="E722" s="8" t="n"/>
    </row>
    <row r="723" ht="15.75" customHeight="1" s="18">
      <c r="C723" s="8" t="n"/>
      <c r="D723" s="8" t="n"/>
      <c r="E723" s="8" t="n"/>
    </row>
    <row r="724" ht="15.75" customHeight="1" s="18">
      <c r="C724" s="8" t="n"/>
      <c r="D724" s="8" t="n"/>
      <c r="E724" s="8" t="n"/>
    </row>
    <row r="725" ht="15.75" customHeight="1" s="18">
      <c r="C725" s="8" t="n"/>
      <c r="D725" s="8" t="n"/>
      <c r="E725" s="8" t="n"/>
    </row>
    <row r="726" ht="15.75" customHeight="1" s="18">
      <c r="C726" s="8" t="n"/>
      <c r="D726" s="8" t="n"/>
      <c r="E726" s="8" t="n"/>
    </row>
    <row r="727" ht="15.75" customHeight="1" s="18">
      <c r="C727" s="8" t="n"/>
      <c r="D727" s="8" t="n"/>
      <c r="E727" s="8" t="n"/>
    </row>
    <row r="728" ht="15.75" customHeight="1" s="18">
      <c r="C728" s="8" t="n"/>
      <c r="D728" s="8" t="n"/>
      <c r="E728" s="8" t="n"/>
    </row>
    <row r="729" ht="15.75" customHeight="1" s="18">
      <c r="C729" s="8" t="n"/>
      <c r="D729" s="8" t="n"/>
      <c r="E729" s="8" t="n"/>
    </row>
    <row r="730" ht="15.75" customHeight="1" s="18">
      <c r="C730" s="8" t="n"/>
      <c r="D730" s="8" t="n"/>
      <c r="E730" s="8" t="n"/>
    </row>
    <row r="731" ht="15.75" customHeight="1" s="18">
      <c r="C731" s="8" t="n"/>
      <c r="D731" s="8" t="n"/>
      <c r="E731" s="8" t="n"/>
    </row>
    <row r="732" ht="15.75" customHeight="1" s="18">
      <c r="C732" s="8" t="n"/>
      <c r="D732" s="8" t="n"/>
      <c r="E732" s="8" t="n"/>
    </row>
    <row r="733" ht="15.75" customHeight="1" s="18">
      <c r="C733" s="8" t="n"/>
      <c r="D733" s="8" t="n"/>
      <c r="E733" s="8" t="n"/>
    </row>
    <row r="734" ht="15.75" customHeight="1" s="18">
      <c r="C734" s="8" t="n"/>
      <c r="D734" s="8" t="n"/>
      <c r="E734" s="8" t="n"/>
    </row>
    <row r="735" ht="15.75" customHeight="1" s="18">
      <c r="C735" s="8" t="n"/>
      <c r="D735" s="8" t="n"/>
      <c r="E735" s="8" t="n"/>
    </row>
    <row r="736" ht="15.75" customHeight="1" s="18">
      <c r="C736" s="8" t="n"/>
      <c r="D736" s="8" t="n"/>
      <c r="E736" s="8" t="n"/>
    </row>
    <row r="737" ht="15.75" customHeight="1" s="18">
      <c r="C737" s="8" t="n"/>
      <c r="D737" s="8" t="n"/>
      <c r="E737" s="8" t="n"/>
    </row>
    <row r="738" ht="15.75" customHeight="1" s="18">
      <c r="C738" s="8" t="n"/>
      <c r="D738" s="8" t="n"/>
      <c r="E738" s="8" t="n"/>
    </row>
    <row r="739" ht="15.75" customHeight="1" s="18">
      <c r="C739" s="8" t="n"/>
      <c r="D739" s="8" t="n"/>
      <c r="E739" s="8" t="n"/>
    </row>
    <row r="740" ht="15.75" customHeight="1" s="18">
      <c r="C740" s="8" t="n"/>
      <c r="D740" s="8" t="n"/>
      <c r="E740" s="8" t="n"/>
    </row>
    <row r="741" ht="15.75" customHeight="1" s="18">
      <c r="C741" s="8" t="n"/>
      <c r="D741" s="8" t="n"/>
      <c r="E741" s="8" t="n"/>
    </row>
    <row r="742" ht="15.75" customHeight="1" s="18">
      <c r="C742" s="8" t="n"/>
      <c r="D742" s="8" t="n"/>
      <c r="E742" s="8" t="n"/>
    </row>
    <row r="743" ht="15.75" customHeight="1" s="18">
      <c r="C743" s="8" t="n"/>
      <c r="D743" s="8" t="n"/>
      <c r="E743" s="8" t="n"/>
    </row>
    <row r="744" ht="15.75" customHeight="1" s="18">
      <c r="C744" s="8" t="n"/>
      <c r="D744" s="8" t="n"/>
      <c r="E744" s="8" t="n"/>
    </row>
    <row r="745" ht="15.75" customHeight="1" s="18">
      <c r="C745" s="8" t="n"/>
      <c r="D745" s="8" t="n"/>
      <c r="E745" s="8" t="n"/>
    </row>
    <row r="746" ht="15.75" customHeight="1" s="18">
      <c r="C746" s="8" t="n"/>
      <c r="D746" s="8" t="n"/>
      <c r="E746" s="8" t="n"/>
    </row>
    <row r="747" ht="15.75" customHeight="1" s="18">
      <c r="C747" s="8" t="n"/>
      <c r="D747" s="8" t="n"/>
      <c r="E747" s="8" t="n"/>
    </row>
    <row r="748" ht="15.75" customHeight="1" s="18">
      <c r="C748" s="8" t="n"/>
      <c r="D748" s="8" t="n"/>
      <c r="E748" s="8" t="n"/>
    </row>
    <row r="749" ht="15.75" customHeight="1" s="18">
      <c r="C749" s="8" t="n"/>
      <c r="D749" s="8" t="n"/>
      <c r="E749" s="8" t="n"/>
    </row>
    <row r="750" ht="15.75" customHeight="1" s="18">
      <c r="C750" s="8" t="n"/>
      <c r="D750" s="8" t="n"/>
      <c r="E750" s="8" t="n"/>
    </row>
    <row r="751" ht="15.75" customHeight="1" s="18">
      <c r="C751" s="8" t="n"/>
      <c r="D751" s="8" t="n"/>
      <c r="E751" s="8" t="n"/>
    </row>
    <row r="752" ht="15.75" customHeight="1" s="18">
      <c r="C752" s="8" t="n"/>
      <c r="D752" s="8" t="n"/>
      <c r="E752" s="8" t="n"/>
    </row>
    <row r="753" ht="15.75" customHeight="1" s="18">
      <c r="C753" s="8" t="n"/>
      <c r="D753" s="8" t="n"/>
      <c r="E753" s="8" t="n"/>
    </row>
    <row r="754" ht="15.75" customHeight="1" s="18">
      <c r="C754" s="8" t="n"/>
      <c r="D754" s="8" t="n"/>
      <c r="E754" s="8" t="n"/>
    </row>
    <row r="755" ht="15.75" customHeight="1" s="18">
      <c r="C755" s="8" t="n"/>
      <c r="D755" s="8" t="n"/>
      <c r="E755" s="8" t="n"/>
    </row>
    <row r="756" ht="15.75" customHeight="1" s="18">
      <c r="C756" s="8" t="n"/>
      <c r="D756" s="8" t="n"/>
      <c r="E756" s="8" t="n"/>
    </row>
    <row r="757" ht="15.75" customHeight="1" s="18">
      <c r="C757" s="8" t="n"/>
      <c r="D757" s="8" t="n"/>
      <c r="E757" s="8" t="n"/>
    </row>
    <row r="758" ht="15.75" customHeight="1" s="18">
      <c r="C758" s="8" t="n"/>
      <c r="D758" s="8" t="n"/>
      <c r="E758" s="8" t="n"/>
    </row>
    <row r="759" ht="15.75" customHeight="1" s="18">
      <c r="C759" s="8" t="n"/>
      <c r="D759" s="8" t="n"/>
      <c r="E759" s="8" t="n"/>
    </row>
    <row r="760" ht="15.75" customHeight="1" s="18">
      <c r="C760" s="8" t="n"/>
      <c r="D760" s="8" t="n"/>
      <c r="E760" s="8" t="n"/>
    </row>
    <row r="761" ht="15.75" customHeight="1" s="18">
      <c r="C761" s="8" t="n"/>
      <c r="D761" s="8" t="n"/>
      <c r="E761" s="8" t="n"/>
    </row>
    <row r="762" ht="15.75" customHeight="1" s="18">
      <c r="C762" s="8" t="n"/>
      <c r="D762" s="8" t="n"/>
      <c r="E762" s="8" t="n"/>
    </row>
    <row r="763" ht="15.75" customHeight="1" s="18">
      <c r="C763" s="8" t="n"/>
      <c r="D763" s="8" t="n"/>
      <c r="E763" s="8" t="n"/>
    </row>
    <row r="764" ht="15.75" customHeight="1" s="18">
      <c r="C764" s="8" t="n"/>
      <c r="D764" s="8" t="n"/>
      <c r="E764" s="8" t="n"/>
    </row>
    <row r="765" ht="15.75" customHeight="1" s="18">
      <c r="C765" s="8" t="n"/>
      <c r="D765" s="8" t="n"/>
      <c r="E765" s="8" t="n"/>
    </row>
    <row r="766" ht="15.75" customHeight="1" s="18">
      <c r="C766" s="8" t="n"/>
      <c r="D766" s="8" t="n"/>
      <c r="E766" s="8" t="n"/>
    </row>
    <row r="767" ht="15.75" customHeight="1" s="18">
      <c r="C767" s="8" t="n"/>
      <c r="D767" s="8" t="n"/>
      <c r="E767" s="8" t="n"/>
    </row>
    <row r="768" ht="15.75" customHeight="1" s="18">
      <c r="C768" s="8" t="n"/>
      <c r="D768" s="8" t="n"/>
      <c r="E768" s="8" t="n"/>
    </row>
    <row r="769" ht="15.75" customHeight="1" s="18">
      <c r="C769" s="8" t="n"/>
      <c r="D769" s="8" t="n"/>
      <c r="E769" s="8" t="n"/>
    </row>
    <row r="770" ht="15.75" customHeight="1" s="18">
      <c r="C770" s="8" t="n"/>
      <c r="D770" s="8" t="n"/>
      <c r="E770" s="8" t="n"/>
    </row>
    <row r="771" ht="15.75" customHeight="1" s="18">
      <c r="C771" s="8" t="n"/>
      <c r="D771" s="8" t="n"/>
      <c r="E771" s="8" t="n"/>
    </row>
    <row r="772" ht="15.75" customHeight="1" s="18">
      <c r="C772" s="8" t="n"/>
      <c r="D772" s="8" t="n"/>
      <c r="E772" s="8" t="n"/>
    </row>
    <row r="773" ht="15.75" customHeight="1" s="18">
      <c r="C773" s="8" t="n"/>
      <c r="D773" s="8" t="n"/>
      <c r="E773" s="8" t="n"/>
    </row>
    <row r="774" ht="15.75" customHeight="1" s="18">
      <c r="C774" s="8" t="n"/>
      <c r="D774" s="8" t="n"/>
      <c r="E774" s="8" t="n"/>
    </row>
    <row r="775" ht="15.75" customHeight="1" s="18">
      <c r="C775" s="8" t="n"/>
      <c r="D775" s="8" t="n"/>
      <c r="E775" s="8" t="n"/>
    </row>
    <row r="776" ht="15.75" customHeight="1" s="18">
      <c r="C776" s="8" t="n"/>
      <c r="D776" s="8" t="n"/>
      <c r="E776" s="8" t="n"/>
    </row>
    <row r="777" ht="15.75" customHeight="1" s="18">
      <c r="C777" s="8" t="n"/>
      <c r="D777" s="8" t="n"/>
      <c r="E777" s="8" t="n"/>
    </row>
    <row r="778" ht="15.75" customHeight="1" s="18">
      <c r="C778" s="8" t="n"/>
      <c r="D778" s="8" t="n"/>
      <c r="E778" s="8" t="n"/>
    </row>
    <row r="779" ht="15.75" customHeight="1" s="18">
      <c r="C779" s="8" t="n"/>
      <c r="D779" s="8" t="n"/>
      <c r="E779" s="8" t="n"/>
    </row>
    <row r="780" ht="15.75" customHeight="1" s="18">
      <c r="C780" s="8" t="n"/>
      <c r="D780" s="8" t="n"/>
      <c r="E780" s="8" t="n"/>
    </row>
    <row r="781" ht="15.75" customHeight="1" s="18">
      <c r="C781" s="8" t="n"/>
      <c r="D781" s="8" t="n"/>
      <c r="E781" s="8" t="n"/>
    </row>
    <row r="782" ht="15.75" customHeight="1" s="18">
      <c r="C782" s="8" t="n"/>
      <c r="D782" s="8" t="n"/>
      <c r="E782" s="8" t="n"/>
    </row>
    <row r="783" ht="15.75" customHeight="1" s="18">
      <c r="C783" s="8" t="n"/>
      <c r="D783" s="8" t="n"/>
      <c r="E783" s="8" t="n"/>
    </row>
    <row r="784" ht="15.75" customHeight="1" s="18">
      <c r="C784" s="8" t="n"/>
      <c r="D784" s="8" t="n"/>
      <c r="E784" s="8" t="n"/>
    </row>
    <row r="785" ht="15.75" customHeight="1" s="18">
      <c r="C785" s="8" t="n"/>
      <c r="D785" s="8" t="n"/>
      <c r="E785" s="8" t="n"/>
    </row>
    <row r="786" ht="15.75" customHeight="1" s="18">
      <c r="C786" s="8" t="n"/>
      <c r="D786" s="8" t="n"/>
      <c r="E786" s="8" t="n"/>
    </row>
    <row r="787" ht="15.75" customHeight="1" s="18">
      <c r="C787" s="8" t="n"/>
      <c r="D787" s="8" t="n"/>
      <c r="E787" s="8" t="n"/>
    </row>
    <row r="788" ht="15.75" customHeight="1" s="18">
      <c r="C788" s="8" t="n"/>
      <c r="D788" s="8" t="n"/>
      <c r="E788" s="8" t="n"/>
    </row>
    <row r="789" ht="15.75" customHeight="1" s="18">
      <c r="C789" s="8" t="n"/>
      <c r="D789" s="8" t="n"/>
      <c r="E789" s="8" t="n"/>
    </row>
    <row r="790" ht="15.75" customHeight="1" s="18">
      <c r="C790" s="8" t="n"/>
      <c r="D790" s="8" t="n"/>
      <c r="E790" s="8" t="n"/>
    </row>
    <row r="791" ht="15.75" customHeight="1" s="18">
      <c r="C791" s="8" t="n"/>
      <c r="D791" s="8" t="n"/>
      <c r="E791" s="8" t="n"/>
    </row>
    <row r="792" ht="15.75" customHeight="1" s="18">
      <c r="C792" s="8" t="n"/>
      <c r="D792" s="8" t="n"/>
      <c r="E792" s="8" t="n"/>
    </row>
    <row r="793" ht="15.75" customHeight="1" s="18">
      <c r="C793" s="8" t="n"/>
      <c r="D793" s="8" t="n"/>
      <c r="E793" s="8" t="n"/>
    </row>
    <row r="794" ht="15.75" customHeight="1" s="18">
      <c r="C794" s="8" t="n"/>
      <c r="D794" s="8" t="n"/>
      <c r="E794" s="8" t="n"/>
    </row>
    <row r="795" ht="15.75" customHeight="1" s="18">
      <c r="C795" s="8" t="n"/>
      <c r="D795" s="8" t="n"/>
      <c r="E795" s="8" t="n"/>
    </row>
    <row r="796" ht="15.75" customHeight="1" s="18">
      <c r="C796" s="8" t="n"/>
      <c r="D796" s="8" t="n"/>
      <c r="E796" s="8" t="n"/>
    </row>
    <row r="797" ht="15.75" customHeight="1" s="18">
      <c r="C797" s="8" t="n"/>
      <c r="D797" s="8" t="n"/>
      <c r="E797" s="8" t="n"/>
    </row>
    <row r="798" ht="15.75" customHeight="1" s="18">
      <c r="C798" s="8" t="n"/>
      <c r="D798" s="8" t="n"/>
      <c r="E798" s="8" t="n"/>
    </row>
    <row r="799" ht="15.75" customHeight="1" s="18">
      <c r="C799" s="8" t="n"/>
      <c r="D799" s="8" t="n"/>
      <c r="E799" s="8" t="n"/>
    </row>
    <row r="800" ht="15.75" customHeight="1" s="18">
      <c r="C800" s="8" t="n"/>
      <c r="D800" s="8" t="n"/>
      <c r="E800" s="8" t="n"/>
    </row>
    <row r="801" ht="15.75" customHeight="1" s="18">
      <c r="C801" s="8" t="n"/>
      <c r="D801" s="8" t="n"/>
      <c r="E801" s="8" t="n"/>
    </row>
    <row r="802" ht="15.75" customHeight="1" s="18">
      <c r="C802" s="8" t="n"/>
      <c r="D802" s="8" t="n"/>
      <c r="E802" s="8" t="n"/>
    </row>
    <row r="803" ht="15.75" customHeight="1" s="18">
      <c r="C803" s="8" t="n"/>
      <c r="D803" s="8" t="n"/>
      <c r="E803" s="8" t="n"/>
    </row>
    <row r="804" ht="15.75" customHeight="1" s="18">
      <c r="C804" s="8" t="n"/>
      <c r="D804" s="8" t="n"/>
      <c r="E804" s="8" t="n"/>
    </row>
    <row r="805" ht="15.75" customHeight="1" s="18">
      <c r="C805" s="8" t="n"/>
      <c r="D805" s="8" t="n"/>
      <c r="E805" s="8" t="n"/>
    </row>
    <row r="806" ht="15.75" customHeight="1" s="18">
      <c r="C806" s="8" t="n"/>
      <c r="D806" s="8" t="n"/>
      <c r="E806" s="8" t="n"/>
    </row>
    <row r="807" ht="15.75" customHeight="1" s="18">
      <c r="C807" s="8" t="n"/>
      <c r="D807" s="8" t="n"/>
      <c r="E807" s="8" t="n"/>
    </row>
    <row r="808" ht="15.75" customHeight="1" s="18">
      <c r="C808" s="8" t="n"/>
      <c r="D808" s="8" t="n"/>
      <c r="E808" s="8" t="n"/>
    </row>
    <row r="809" ht="15.75" customHeight="1" s="18">
      <c r="C809" s="8" t="n"/>
      <c r="D809" s="8" t="n"/>
      <c r="E809" s="8" t="n"/>
    </row>
    <row r="810" ht="15.75" customHeight="1" s="18">
      <c r="C810" s="8" t="n"/>
      <c r="D810" s="8" t="n"/>
      <c r="E810" s="8" t="n"/>
    </row>
    <row r="811" ht="15.75" customHeight="1" s="18">
      <c r="C811" s="8" t="n"/>
      <c r="D811" s="8" t="n"/>
      <c r="E811" s="8" t="n"/>
    </row>
    <row r="812" ht="15.75" customHeight="1" s="18">
      <c r="C812" s="8" t="n"/>
      <c r="D812" s="8" t="n"/>
      <c r="E812" s="8" t="n"/>
    </row>
    <row r="813" ht="15.75" customHeight="1" s="18">
      <c r="C813" s="8" t="n"/>
      <c r="D813" s="8" t="n"/>
      <c r="E813" s="8" t="n"/>
    </row>
    <row r="814" ht="15.75" customHeight="1" s="18">
      <c r="C814" s="8" t="n"/>
      <c r="D814" s="8" t="n"/>
      <c r="E814" s="8" t="n"/>
    </row>
    <row r="815" ht="15.75" customHeight="1" s="18">
      <c r="C815" s="8" t="n"/>
      <c r="D815" s="8" t="n"/>
      <c r="E815" s="8" t="n"/>
    </row>
    <row r="816" ht="15.75" customHeight="1" s="18">
      <c r="C816" s="8" t="n"/>
      <c r="D816" s="8" t="n"/>
      <c r="E816" s="8" t="n"/>
    </row>
    <row r="817" ht="15.75" customHeight="1" s="18">
      <c r="C817" s="8" t="n"/>
      <c r="D817" s="8" t="n"/>
      <c r="E817" s="8" t="n"/>
    </row>
    <row r="818" ht="15.75" customHeight="1" s="18">
      <c r="C818" s="8" t="n"/>
      <c r="D818" s="8" t="n"/>
      <c r="E818" s="8" t="n"/>
    </row>
    <row r="819" ht="15.75" customHeight="1" s="18">
      <c r="C819" s="8" t="n"/>
      <c r="D819" s="8" t="n"/>
      <c r="E819" s="8" t="n"/>
    </row>
    <row r="820" ht="15.75" customHeight="1" s="18">
      <c r="C820" s="8" t="n"/>
      <c r="D820" s="8" t="n"/>
      <c r="E820" s="8" t="n"/>
    </row>
    <row r="821" ht="15.75" customHeight="1" s="18">
      <c r="C821" s="8" t="n"/>
      <c r="D821" s="8" t="n"/>
      <c r="E821" s="8" t="n"/>
    </row>
    <row r="822" ht="15.75" customHeight="1" s="18">
      <c r="C822" s="8" t="n"/>
      <c r="D822" s="8" t="n"/>
      <c r="E822" s="8" t="n"/>
    </row>
    <row r="823" ht="15.75" customHeight="1" s="18">
      <c r="C823" s="8" t="n"/>
      <c r="D823" s="8" t="n"/>
      <c r="E823" s="8" t="n"/>
    </row>
    <row r="824" ht="15.75" customHeight="1" s="18">
      <c r="C824" s="8" t="n"/>
      <c r="D824" s="8" t="n"/>
      <c r="E824" s="8" t="n"/>
    </row>
    <row r="825" ht="15.75" customHeight="1" s="18">
      <c r="C825" s="8" t="n"/>
      <c r="D825" s="8" t="n"/>
      <c r="E825" s="8" t="n"/>
    </row>
    <row r="826" ht="15.75" customHeight="1" s="18">
      <c r="C826" s="8" t="n"/>
      <c r="D826" s="8" t="n"/>
      <c r="E826" s="8" t="n"/>
    </row>
    <row r="827" ht="15.75" customHeight="1" s="18">
      <c r="C827" s="8" t="n"/>
      <c r="D827" s="8" t="n"/>
      <c r="E827" s="8" t="n"/>
    </row>
    <row r="828" ht="15.75" customHeight="1" s="18">
      <c r="C828" s="8" t="n"/>
      <c r="D828" s="8" t="n"/>
      <c r="E828" s="8" t="n"/>
    </row>
    <row r="829" ht="15.75" customHeight="1" s="18">
      <c r="C829" s="8" t="n"/>
      <c r="D829" s="8" t="n"/>
      <c r="E829" s="8" t="n"/>
    </row>
    <row r="830" ht="15.75" customHeight="1" s="18">
      <c r="C830" s="8" t="n"/>
      <c r="D830" s="8" t="n"/>
      <c r="E830" s="8" t="n"/>
    </row>
    <row r="831" ht="15.75" customHeight="1" s="18">
      <c r="C831" s="8" t="n"/>
      <c r="D831" s="8" t="n"/>
      <c r="E831" s="8" t="n"/>
    </row>
    <row r="832" ht="15.75" customHeight="1" s="18">
      <c r="C832" s="8" t="n"/>
      <c r="D832" s="8" t="n"/>
      <c r="E832" s="8" t="n"/>
    </row>
    <row r="833" ht="15.75" customHeight="1" s="18">
      <c r="C833" s="8" t="n"/>
      <c r="D833" s="8" t="n"/>
      <c r="E833" s="8" t="n"/>
    </row>
    <row r="834" ht="15.75" customHeight="1" s="18">
      <c r="C834" s="8" t="n"/>
      <c r="D834" s="8" t="n"/>
      <c r="E834" s="8" t="n"/>
    </row>
    <row r="835" ht="15.75" customHeight="1" s="18">
      <c r="C835" s="8" t="n"/>
      <c r="D835" s="8" t="n"/>
      <c r="E835" s="8" t="n"/>
    </row>
    <row r="836" ht="15.75" customHeight="1" s="18">
      <c r="C836" s="8" t="n"/>
      <c r="D836" s="8" t="n"/>
      <c r="E836" s="8" t="n"/>
    </row>
    <row r="837" ht="15.75" customHeight="1" s="18">
      <c r="C837" s="8" t="n"/>
      <c r="D837" s="8" t="n"/>
      <c r="E837" s="8" t="n"/>
    </row>
    <row r="838" ht="15.75" customHeight="1" s="18">
      <c r="C838" s="8" t="n"/>
      <c r="D838" s="8" t="n"/>
      <c r="E838" s="8" t="n"/>
    </row>
    <row r="839" ht="15.75" customHeight="1" s="18">
      <c r="C839" s="8" t="n"/>
      <c r="D839" s="8" t="n"/>
      <c r="E839" s="8" t="n"/>
    </row>
    <row r="840" ht="15.75" customHeight="1" s="18">
      <c r="C840" s="8" t="n"/>
      <c r="D840" s="8" t="n"/>
      <c r="E840" s="8" t="n"/>
    </row>
    <row r="841" ht="15.75" customHeight="1" s="18">
      <c r="C841" s="8" t="n"/>
      <c r="D841" s="8" t="n"/>
      <c r="E841" s="8" t="n"/>
    </row>
    <row r="842" ht="15.75" customHeight="1" s="18">
      <c r="C842" s="8" t="n"/>
      <c r="D842" s="8" t="n"/>
      <c r="E842" s="8" t="n"/>
    </row>
    <row r="843" ht="15.75" customHeight="1" s="18">
      <c r="C843" s="8" t="n"/>
      <c r="D843" s="8" t="n"/>
      <c r="E843" s="8" t="n"/>
    </row>
    <row r="844" ht="15.75" customHeight="1" s="18">
      <c r="C844" s="8" t="n"/>
      <c r="D844" s="8" t="n"/>
      <c r="E844" s="8" t="n"/>
    </row>
    <row r="845" ht="15.75" customHeight="1" s="18">
      <c r="C845" s="8" t="n"/>
      <c r="D845" s="8" t="n"/>
      <c r="E845" s="8" t="n"/>
    </row>
    <row r="846" ht="15.75" customHeight="1" s="18">
      <c r="C846" s="8" t="n"/>
      <c r="D846" s="8" t="n"/>
      <c r="E846" s="8" t="n"/>
    </row>
    <row r="847" ht="15.75" customHeight="1" s="18">
      <c r="C847" s="8" t="n"/>
      <c r="D847" s="8" t="n"/>
      <c r="E847" s="8" t="n"/>
    </row>
    <row r="848" ht="15.75" customHeight="1" s="18">
      <c r="C848" s="8" t="n"/>
      <c r="D848" s="8" t="n"/>
      <c r="E848" s="8" t="n"/>
    </row>
    <row r="849" ht="15.75" customHeight="1" s="18">
      <c r="C849" s="8" t="n"/>
      <c r="D849" s="8" t="n"/>
      <c r="E849" s="8" t="n"/>
    </row>
    <row r="850" ht="15.75" customHeight="1" s="18">
      <c r="C850" s="8" t="n"/>
      <c r="D850" s="8" t="n"/>
      <c r="E850" s="8" t="n"/>
    </row>
    <row r="851" ht="15.75" customHeight="1" s="18">
      <c r="C851" s="8" t="n"/>
      <c r="D851" s="8" t="n"/>
      <c r="E851" s="8" t="n"/>
    </row>
    <row r="852" ht="15.75" customHeight="1" s="18">
      <c r="C852" s="8" t="n"/>
      <c r="D852" s="8" t="n"/>
      <c r="E852" s="8" t="n"/>
    </row>
    <row r="853" ht="15.75" customHeight="1" s="18">
      <c r="C853" s="8" t="n"/>
      <c r="D853" s="8" t="n"/>
      <c r="E853" s="8" t="n"/>
    </row>
    <row r="854" ht="15.75" customHeight="1" s="18">
      <c r="C854" s="8" t="n"/>
      <c r="D854" s="8" t="n"/>
      <c r="E854" s="8" t="n"/>
    </row>
    <row r="855" ht="15.75" customHeight="1" s="18">
      <c r="C855" s="8" t="n"/>
      <c r="D855" s="8" t="n"/>
      <c r="E855" s="8" t="n"/>
    </row>
    <row r="856" ht="15.75" customHeight="1" s="18">
      <c r="C856" s="8" t="n"/>
      <c r="D856" s="8" t="n"/>
      <c r="E856" s="8" t="n"/>
    </row>
    <row r="857" ht="15.75" customHeight="1" s="18">
      <c r="C857" s="8" t="n"/>
      <c r="D857" s="8" t="n"/>
      <c r="E857" s="8" t="n"/>
    </row>
    <row r="858" ht="15.75" customHeight="1" s="18">
      <c r="C858" s="8" t="n"/>
      <c r="D858" s="8" t="n"/>
      <c r="E858" s="8" t="n"/>
    </row>
    <row r="859" ht="15.75" customHeight="1" s="18">
      <c r="C859" s="8" t="n"/>
      <c r="D859" s="8" t="n"/>
      <c r="E859" s="8" t="n"/>
    </row>
    <row r="860" ht="15.75" customHeight="1" s="18">
      <c r="C860" s="8" t="n"/>
      <c r="D860" s="8" t="n"/>
      <c r="E860" s="8" t="n"/>
    </row>
    <row r="861" ht="15.75" customHeight="1" s="18">
      <c r="C861" s="8" t="n"/>
      <c r="D861" s="8" t="n"/>
      <c r="E861" s="8" t="n"/>
    </row>
    <row r="862" ht="15.75" customHeight="1" s="18">
      <c r="C862" s="8" t="n"/>
      <c r="D862" s="8" t="n"/>
      <c r="E862" s="8" t="n"/>
    </row>
    <row r="863" ht="15.75" customHeight="1" s="18">
      <c r="C863" s="8" t="n"/>
      <c r="D863" s="8" t="n"/>
      <c r="E863" s="8" t="n"/>
    </row>
    <row r="864" ht="15.75" customHeight="1" s="18">
      <c r="C864" s="8" t="n"/>
      <c r="D864" s="8" t="n"/>
      <c r="E864" s="8" t="n"/>
    </row>
    <row r="865" ht="15.75" customHeight="1" s="18">
      <c r="C865" s="8" t="n"/>
      <c r="D865" s="8" t="n"/>
      <c r="E865" s="8" t="n"/>
    </row>
    <row r="866" ht="15.75" customHeight="1" s="18">
      <c r="C866" s="8" t="n"/>
      <c r="D866" s="8" t="n"/>
      <c r="E866" s="8" t="n"/>
    </row>
    <row r="867" ht="15.75" customHeight="1" s="18">
      <c r="C867" s="8" t="n"/>
      <c r="D867" s="8" t="n"/>
      <c r="E867" s="8" t="n"/>
    </row>
    <row r="868" ht="15.75" customHeight="1" s="18">
      <c r="C868" s="8" t="n"/>
      <c r="D868" s="8" t="n"/>
      <c r="E868" s="8" t="n"/>
    </row>
    <row r="869" ht="15.75" customHeight="1" s="18">
      <c r="C869" s="8" t="n"/>
      <c r="D869" s="8" t="n"/>
      <c r="E869" s="8" t="n"/>
    </row>
    <row r="870" ht="15.75" customHeight="1" s="18">
      <c r="C870" s="8" t="n"/>
      <c r="D870" s="8" t="n"/>
      <c r="E870" s="8" t="n"/>
    </row>
    <row r="871" ht="15.75" customHeight="1" s="18">
      <c r="C871" s="8" t="n"/>
      <c r="D871" s="8" t="n"/>
      <c r="E871" s="8" t="n"/>
    </row>
    <row r="872" ht="15.75" customHeight="1" s="18">
      <c r="C872" s="8" t="n"/>
      <c r="D872" s="8" t="n"/>
      <c r="E872" s="8" t="n"/>
    </row>
    <row r="873" ht="15.75" customHeight="1" s="18">
      <c r="C873" s="8" t="n"/>
      <c r="D873" s="8" t="n"/>
      <c r="E873" s="8" t="n"/>
    </row>
    <row r="874" ht="15.75" customHeight="1" s="18">
      <c r="C874" s="8" t="n"/>
      <c r="D874" s="8" t="n"/>
      <c r="E874" s="8" t="n"/>
    </row>
    <row r="875" ht="15.75" customHeight="1" s="18">
      <c r="C875" s="8" t="n"/>
      <c r="D875" s="8" t="n"/>
      <c r="E875" s="8" t="n"/>
    </row>
    <row r="876" ht="15.75" customHeight="1" s="18">
      <c r="C876" s="8" t="n"/>
      <c r="D876" s="8" t="n"/>
      <c r="E876" s="8" t="n"/>
    </row>
    <row r="877" ht="15.75" customHeight="1" s="18">
      <c r="C877" s="8" t="n"/>
      <c r="D877" s="8" t="n"/>
      <c r="E877" s="8" t="n"/>
    </row>
    <row r="878" ht="15.75" customHeight="1" s="18">
      <c r="C878" s="8" t="n"/>
      <c r="D878" s="8" t="n"/>
      <c r="E878" s="8" t="n"/>
    </row>
    <row r="879" ht="15.75" customHeight="1" s="18">
      <c r="C879" s="8" t="n"/>
      <c r="D879" s="8" t="n"/>
      <c r="E879" s="8" t="n"/>
    </row>
    <row r="880" ht="15.75" customHeight="1" s="18">
      <c r="C880" s="8" t="n"/>
      <c r="D880" s="8" t="n"/>
      <c r="E880" s="8" t="n"/>
    </row>
    <row r="881" ht="15.75" customHeight="1" s="18">
      <c r="C881" s="8" t="n"/>
      <c r="D881" s="8" t="n"/>
      <c r="E881" s="8" t="n"/>
    </row>
    <row r="882" ht="15.75" customHeight="1" s="18">
      <c r="C882" s="8" t="n"/>
      <c r="D882" s="8" t="n"/>
      <c r="E882" s="8" t="n"/>
    </row>
    <row r="883" ht="15.75" customHeight="1" s="18">
      <c r="C883" s="8" t="n"/>
      <c r="D883" s="8" t="n"/>
      <c r="E883" s="8" t="n"/>
    </row>
    <row r="884" ht="15.75" customHeight="1" s="18">
      <c r="C884" s="8" t="n"/>
      <c r="D884" s="8" t="n"/>
      <c r="E884" s="8" t="n"/>
    </row>
    <row r="885" ht="15.75" customHeight="1" s="18">
      <c r="C885" s="8" t="n"/>
      <c r="D885" s="8" t="n"/>
      <c r="E885" s="8" t="n"/>
    </row>
    <row r="886" ht="15.75" customHeight="1" s="18">
      <c r="C886" s="8" t="n"/>
      <c r="D886" s="8" t="n"/>
      <c r="E886" s="8" t="n"/>
    </row>
    <row r="887" ht="15.75" customHeight="1" s="18">
      <c r="C887" s="8" t="n"/>
      <c r="D887" s="8" t="n"/>
      <c r="E887" s="8" t="n"/>
    </row>
    <row r="888" ht="15.75" customHeight="1" s="18">
      <c r="C888" s="8" t="n"/>
      <c r="D888" s="8" t="n"/>
      <c r="E888" s="8" t="n"/>
    </row>
    <row r="889" ht="15.75" customHeight="1" s="18">
      <c r="C889" s="8" t="n"/>
      <c r="D889" s="8" t="n"/>
      <c r="E889" s="8" t="n"/>
    </row>
    <row r="890" ht="15.75" customHeight="1" s="18">
      <c r="C890" s="8" t="n"/>
      <c r="D890" s="8" t="n"/>
      <c r="E890" s="8" t="n"/>
    </row>
    <row r="891" ht="15.75" customHeight="1" s="18">
      <c r="C891" s="8" t="n"/>
      <c r="D891" s="8" t="n"/>
      <c r="E891" s="8" t="n"/>
    </row>
    <row r="892" ht="15.75" customHeight="1" s="18">
      <c r="C892" s="8" t="n"/>
      <c r="D892" s="8" t="n"/>
      <c r="E892" s="8" t="n"/>
    </row>
    <row r="893" ht="15.75" customHeight="1" s="18">
      <c r="C893" s="8" t="n"/>
      <c r="D893" s="8" t="n"/>
      <c r="E893" s="8" t="n"/>
    </row>
    <row r="894" ht="15.75" customHeight="1" s="18">
      <c r="C894" s="8" t="n"/>
      <c r="D894" s="8" t="n"/>
      <c r="E894" s="8" t="n"/>
    </row>
    <row r="895" ht="15.75" customHeight="1" s="18">
      <c r="C895" s="8" t="n"/>
      <c r="D895" s="8" t="n"/>
      <c r="E895" s="8" t="n"/>
    </row>
    <row r="896" ht="15.75" customHeight="1" s="18">
      <c r="C896" s="8" t="n"/>
      <c r="D896" s="8" t="n"/>
      <c r="E896" s="8" t="n"/>
    </row>
    <row r="897" ht="15.75" customHeight="1" s="18">
      <c r="C897" s="8" t="n"/>
      <c r="D897" s="8" t="n"/>
      <c r="E897" s="8" t="n"/>
    </row>
    <row r="898" ht="15.75" customHeight="1" s="18">
      <c r="C898" s="8" t="n"/>
      <c r="D898" s="8" t="n"/>
      <c r="E898" s="8" t="n"/>
    </row>
    <row r="899" ht="15.75" customHeight="1" s="18">
      <c r="C899" s="8" t="n"/>
      <c r="D899" s="8" t="n"/>
      <c r="E899" s="8" t="n"/>
    </row>
    <row r="900" ht="15.75" customHeight="1" s="18">
      <c r="C900" s="8" t="n"/>
      <c r="D900" s="8" t="n"/>
      <c r="E900" s="8" t="n"/>
    </row>
    <row r="901" ht="15.75" customHeight="1" s="18">
      <c r="C901" s="8" t="n"/>
      <c r="D901" s="8" t="n"/>
      <c r="E901" s="8" t="n"/>
    </row>
    <row r="902" ht="15.75" customHeight="1" s="18">
      <c r="C902" s="8" t="n"/>
      <c r="D902" s="8" t="n"/>
      <c r="E902" s="8" t="n"/>
    </row>
    <row r="903" ht="15.75" customHeight="1" s="18">
      <c r="C903" s="8" t="n"/>
      <c r="D903" s="8" t="n"/>
      <c r="E903" s="8" t="n"/>
    </row>
    <row r="904" ht="15.75" customHeight="1" s="18">
      <c r="C904" s="8" t="n"/>
      <c r="D904" s="8" t="n"/>
      <c r="E904" s="8" t="n"/>
    </row>
    <row r="905" ht="15.75" customHeight="1" s="18">
      <c r="C905" s="8" t="n"/>
      <c r="D905" s="8" t="n"/>
      <c r="E905" s="8" t="n"/>
    </row>
    <row r="906" ht="15.75" customHeight="1" s="18">
      <c r="C906" s="8" t="n"/>
      <c r="D906" s="8" t="n"/>
      <c r="E906" s="8" t="n"/>
    </row>
    <row r="907" ht="15.75" customHeight="1" s="18">
      <c r="C907" s="8" t="n"/>
      <c r="D907" s="8" t="n"/>
      <c r="E907" s="8" t="n"/>
    </row>
    <row r="908" ht="15.75" customHeight="1" s="18">
      <c r="C908" s="8" t="n"/>
      <c r="D908" s="8" t="n"/>
      <c r="E908" s="8" t="n"/>
    </row>
    <row r="909" ht="15.75" customHeight="1" s="18">
      <c r="C909" s="8" t="n"/>
      <c r="D909" s="8" t="n"/>
      <c r="E909" s="8" t="n"/>
    </row>
    <row r="910" ht="15.75" customHeight="1" s="18">
      <c r="C910" s="8" t="n"/>
      <c r="D910" s="8" t="n"/>
      <c r="E910" s="8" t="n"/>
    </row>
    <row r="911" ht="15.75" customHeight="1" s="18">
      <c r="C911" s="8" t="n"/>
      <c r="D911" s="8" t="n"/>
      <c r="E911" s="8" t="n"/>
    </row>
    <row r="912" ht="15.75" customHeight="1" s="18">
      <c r="C912" s="8" t="n"/>
      <c r="D912" s="8" t="n"/>
      <c r="E912" s="8" t="n"/>
    </row>
    <row r="913" ht="15.75" customHeight="1" s="18">
      <c r="C913" s="8" t="n"/>
      <c r="D913" s="8" t="n"/>
      <c r="E913" s="8" t="n"/>
    </row>
    <row r="914" ht="15.75" customHeight="1" s="18">
      <c r="C914" s="8" t="n"/>
      <c r="D914" s="8" t="n"/>
      <c r="E914" s="8" t="n"/>
    </row>
    <row r="915" ht="15.75" customHeight="1" s="18">
      <c r="C915" s="8" t="n"/>
      <c r="D915" s="8" t="n"/>
      <c r="E915" s="8" t="n"/>
    </row>
    <row r="916" ht="15.75" customHeight="1" s="18">
      <c r="C916" s="8" t="n"/>
      <c r="D916" s="8" t="n"/>
      <c r="E916" s="8" t="n"/>
    </row>
    <row r="917" ht="15.75" customHeight="1" s="18">
      <c r="C917" s="8" t="n"/>
      <c r="D917" s="8" t="n"/>
      <c r="E917" s="8" t="n"/>
    </row>
    <row r="918" ht="15.75" customHeight="1" s="18">
      <c r="C918" s="8" t="n"/>
      <c r="D918" s="8" t="n"/>
      <c r="E918" s="8" t="n"/>
    </row>
    <row r="919" ht="15.75" customHeight="1" s="18">
      <c r="C919" s="8" t="n"/>
      <c r="D919" s="8" t="n"/>
      <c r="E919" s="8" t="n"/>
    </row>
    <row r="920" ht="15.75" customHeight="1" s="18">
      <c r="C920" s="8" t="n"/>
      <c r="D920" s="8" t="n"/>
      <c r="E920" s="8" t="n"/>
    </row>
    <row r="921" ht="15.75" customHeight="1" s="18">
      <c r="C921" s="8" t="n"/>
      <c r="D921" s="8" t="n"/>
      <c r="E921" s="8" t="n"/>
    </row>
    <row r="922" ht="15.75" customHeight="1" s="18">
      <c r="C922" s="8" t="n"/>
      <c r="D922" s="8" t="n"/>
      <c r="E922" s="8" t="n"/>
    </row>
    <row r="923" ht="15.75" customHeight="1" s="18">
      <c r="C923" s="8" t="n"/>
      <c r="D923" s="8" t="n"/>
      <c r="E923" s="8" t="n"/>
    </row>
    <row r="924" ht="15.75" customHeight="1" s="18">
      <c r="C924" s="8" t="n"/>
      <c r="D924" s="8" t="n"/>
      <c r="E924" s="8" t="n"/>
    </row>
    <row r="925" ht="15.75" customHeight="1" s="18">
      <c r="C925" s="8" t="n"/>
      <c r="D925" s="8" t="n"/>
      <c r="E925" s="8" t="n"/>
    </row>
    <row r="926" ht="15.75" customHeight="1" s="18">
      <c r="C926" s="8" t="n"/>
      <c r="D926" s="8" t="n"/>
      <c r="E926" s="8" t="n"/>
    </row>
    <row r="927" ht="15.75" customHeight="1" s="18">
      <c r="C927" s="8" t="n"/>
      <c r="D927" s="8" t="n"/>
      <c r="E927" s="8" t="n"/>
    </row>
    <row r="928" ht="15.75" customHeight="1" s="18">
      <c r="C928" s="8" t="n"/>
      <c r="D928" s="8" t="n"/>
      <c r="E928" s="8" t="n"/>
    </row>
    <row r="929" ht="15.75" customHeight="1" s="18">
      <c r="C929" s="8" t="n"/>
      <c r="D929" s="8" t="n"/>
      <c r="E929" s="8" t="n"/>
    </row>
    <row r="930" ht="15.75" customHeight="1" s="18">
      <c r="C930" s="8" t="n"/>
      <c r="D930" s="8" t="n"/>
      <c r="E930" s="8" t="n"/>
    </row>
    <row r="931" ht="15.75" customHeight="1" s="18">
      <c r="C931" s="8" t="n"/>
      <c r="D931" s="8" t="n"/>
      <c r="E931" s="8" t="n"/>
    </row>
    <row r="932" ht="15.75" customHeight="1" s="18">
      <c r="C932" s="8" t="n"/>
      <c r="D932" s="8" t="n"/>
      <c r="E932" s="8" t="n"/>
    </row>
    <row r="933" ht="15.75" customHeight="1" s="18">
      <c r="C933" s="8" t="n"/>
      <c r="D933" s="8" t="n"/>
      <c r="E933" s="8" t="n"/>
    </row>
    <row r="934" ht="15.75" customHeight="1" s="18">
      <c r="C934" s="8" t="n"/>
      <c r="D934" s="8" t="n"/>
      <c r="E934" s="8" t="n"/>
    </row>
    <row r="935" ht="15.75" customHeight="1" s="18">
      <c r="C935" s="8" t="n"/>
      <c r="D935" s="8" t="n"/>
      <c r="E935" s="8" t="n"/>
    </row>
    <row r="936" ht="15.75" customHeight="1" s="18">
      <c r="C936" s="8" t="n"/>
      <c r="D936" s="8" t="n"/>
      <c r="E936" s="8" t="n"/>
    </row>
    <row r="937" ht="15.75" customHeight="1" s="18">
      <c r="C937" s="8" t="n"/>
      <c r="D937" s="8" t="n"/>
      <c r="E937" s="8" t="n"/>
    </row>
    <row r="938" ht="15.75" customHeight="1" s="18">
      <c r="C938" s="8" t="n"/>
      <c r="D938" s="8" t="n"/>
      <c r="E938" s="8" t="n"/>
    </row>
    <row r="939" ht="15.75" customHeight="1" s="18">
      <c r="C939" s="8" t="n"/>
      <c r="D939" s="8" t="n"/>
      <c r="E939" s="8" t="n"/>
    </row>
    <row r="940" ht="15.75" customHeight="1" s="18">
      <c r="C940" s="8" t="n"/>
      <c r="D940" s="8" t="n"/>
      <c r="E940" s="8" t="n"/>
    </row>
    <row r="941" ht="15.75" customHeight="1" s="18">
      <c r="C941" s="8" t="n"/>
      <c r="D941" s="8" t="n"/>
      <c r="E941" s="8" t="n"/>
    </row>
    <row r="942" ht="15.75" customHeight="1" s="18">
      <c r="C942" s="8" t="n"/>
      <c r="D942" s="8" t="n"/>
      <c r="E942" s="8" t="n"/>
    </row>
    <row r="943" ht="15.75" customHeight="1" s="18">
      <c r="C943" s="8" t="n"/>
      <c r="D943" s="8" t="n"/>
      <c r="E943" s="8" t="n"/>
    </row>
    <row r="944" ht="15.75" customHeight="1" s="18">
      <c r="C944" s="8" t="n"/>
      <c r="D944" s="8" t="n"/>
      <c r="E944" s="8" t="n"/>
    </row>
    <row r="945" ht="15.75" customHeight="1" s="18">
      <c r="C945" s="8" t="n"/>
      <c r="D945" s="8" t="n"/>
      <c r="E945" s="8" t="n"/>
    </row>
    <row r="946" ht="15.75" customHeight="1" s="18">
      <c r="C946" s="8" t="n"/>
      <c r="D946" s="8" t="n"/>
      <c r="E946" s="8" t="n"/>
    </row>
    <row r="947" ht="15.75" customHeight="1" s="18">
      <c r="C947" s="8" t="n"/>
      <c r="D947" s="8" t="n"/>
      <c r="E947" s="8" t="n"/>
    </row>
    <row r="948" ht="15.75" customHeight="1" s="18">
      <c r="C948" s="8" t="n"/>
      <c r="D948" s="8" t="n"/>
      <c r="E948" s="8" t="n"/>
    </row>
    <row r="949" ht="15.75" customHeight="1" s="18">
      <c r="C949" s="8" t="n"/>
      <c r="D949" s="8" t="n"/>
      <c r="E949" s="8" t="n"/>
    </row>
    <row r="950" ht="15.75" customHeight="1" s="18">
      <c r="C950" s="8" t="n"/>
      <c r="D950" s="8" t="n"/>
      <c r="E950" s="8" t="n"/>
    </row>
    <row r="951" ht="15.75" customHeight="1" s="18">
      <c r="C951" s="8" t="n"/>
      <c r="D951" s="8" t="n"/>
      <c r="E951" s="8" t="n"/>
    </row>
    <row r="952" ht="15.75" customHeight="1" s="18">
      <c r="C952" s="8" t="n"/>
      <c r="D952" s="8" t="n"/>
      <c r="E952" s="8" t="n"/>
    </row>
    <row r="953" ht="15.75" customHeight="1" s="18">
      <c r="C953" s="8" t="n"/>
      <c r="D953" s="8" t="n"/>
      <c r="E953" s="8" t="n"/>
    </row>
    <row r="954" ht="15.75" customHeight="1" s="18">
      <c r="C954" s="8" t="n"/>
      <c r="D954" s="8" t="n"/>
      <c r="E954" s="8" t="n"/>
    </row>
    <row r="955" ht="15.75" customHeight="1" s="18">
      <c r="C955" s="8" t="n"/>
      <c r="D955" s="8" t="n"/>
      <c r="E955" s="8" t="n"/>
    </row>
    <row r="956" ht="15.75" customHeight="1" s="18">
      <c r="C956" s="8" t="n"/>
      <c r="D956" s="8" t="n"/>
      <c r="E956" s="8" t="n"/>
    </row>
    <row r="957" ht="15.75" customHeight="1" s="18">
      <c r="C957" s="8" t="n"/>
      <c r="D957" s="8" t="n"/>
      <c r="E957" s="8" t="n"/>
    </row>
    <row r="958" ht="15.75" customHeight="1" s="18">
      <c r="C958" s="8" t="n"/>
      <c r="D958" s="8" t="n"/>
      <c r="E958" s="8" t="n"/>
    </row>
    <row r="959" ht="15.75" customHeight="1" s="18">
      <c r="C959" s="8" t="n"/>
      <c r="D959" s="8" t="n"/>
      <c r="E959" s="8" t="n"/>
    </row>
    <row r="960" ht="15.75" customHeight="1" s="18">
      <c r="C960" s="8" t="n"/>
      <c r="D960" s="8" t="n"/>
      <c r="E960" s="8" t="n"/>
    </row>
    <row r="961" ht="15.75" customHeight="1" s="18">
      <c r="C961" s="8" t="n"/>
      <c r="D961" s="8" t="n"/>
      <c r="E961" s="8" t="n"/>
    </row>
    <row r="962" ht="15.75" customHeight="1" s="18">
      <c r="C962" s="8" t="n"/>
      <c r="D962" s="8" t="n"/>
      <c r="E962" s="8" t="n"/>
    </row>
    <row r="963" ht="15.75" customHeight="1" s="18">
      <c r="C963" s="8" t="n"/>
      <c r="D963" s="8" t="n"/>
      <c r="E963" s="8" t="n"/>
    </row>
    <row r="964" ht="15.75" customHeight="1" s="18">
      <c r="C964" s="8" t="n"/>
      <c r="D964" s="8" t="n"/>
      <c r="E964" s="8" t="n"/>
    </row>
    <row r="965" ht="15.75" customHeight="1" s="18">
      <c r="C965" s="8" t="n"/>
      <c r="D965" s="8" t="n"/>
      <c r="E965" s="8" t="n"/>
    </row>
    <row r="966" ht="15.75" customHeight="1" s="18">
      <c r="C966" s="8" t="n"/>
      <c r="D966" s="8" t="n"/>
      <c r="E966" s="8" t="n"/>
    </row>
    <row r="967" ht="15.75" customHeight="1" s="18">
      <c r="C967" s="8" t="n"/>
      <c r="D967" s="8" t="n"/>
      <c r="E967" s="8" t="n"/>
    </row>
    <row r="968" ht="15.75" customHeight="1" s="18">
      <c r="C968" s="8" t="n"/>
      <c r="D968" s="8" t="n"/>
      <c r="E968" s="8" t="n"/>
    </row>
    <row r="969" ht="15.75" customHeight="1" s="18">
      <c r="C969" s="8" t="n"/>
      <c r="D969" s="8" t="n"/>
      <c r="E969" s="8" t="n"/>
    </row>
    <row r="970" ht="15.75" customHeight="1" s="18">
      <c r="C970" s="8" t="n"/>
      <c r="D970" s="8" t="n"/>
      <c r="E970" s="8" t="n"/>
    </row>
    <row r="971" ht="15.75" customHeight="1" s="18">
      <c r="C971" s="8" t="n"/>
      <c r="D971" s="8" t="n"/>
      <c r="E971" s="8" t="n"/>
    </row>
    <row r="972" ht="15.75" customHeight="1" s="18">
      <c r="C972" s="8" t="n"/>
      <c r="D972" s="8" t="n"/>
      <c r="E972" s="8" t="n"/>
    </row>
    <row r="973" ht="15.75" customHeight="1" s="18">
      <c r="C973" s="8" t="n"/>
      <c r="D973" s="8" t="n"/>
      <c r="E973" s="8" t="n"/>
    </row>
    <row r="974" ht="15.75" customHeight="1" s="18">
      <c r="C974" s="8" t="n"/>
      <c r="D974" s="8" t="n"/>
      <c r="E974" s="8" t="n"/>
    </row>
    <row r="975" ht="15.75" customHeight="1" s="18">
      <c r="C975" s="8" t="n"/>
      <c r="D975" s="8" t="n"/>
      <c r="E975" s="8" t="n"/>
    </row>
    <row r="976" ht="15.75" customHeight="1" s="18">
      <c r="C976" s="8" t="n"/>
      <c r="D976" s="8" t="n"/>
      <c r="E976" s="8" t="n"/>
    </row>
    <row r="977" ht="15.75" customHeight="1" s="18">
      <c r="C977" s="8" t="n"/>
      <c r="D977" s="8" t="n"/>
      <c r="E977" s="8" t="n"/>
    </row>
    <row r="978" ht="15.75" customHeight="1" s="18">
      <c r="C978" s="8" t="n"/>
      <c r="D978" s="8" t="n"/>
      <c r="E978" s="8" t="n"/>
    </row>
    <row r="979" ht="15.75" customHeight="1" s="18">
      <c r="C979" s="8" t="n"/>
      <c r="D979" s="8" t="n"/>
      <c r="E979" s="8" t="n"/>
    </row>
    <row r="980" ht="15.75" customHeight="1" s="18">
      <c r="C980" s="8" t="n"/>
      <c r="D980" s="8" t="n"/>
      <c r="E980" s="8" t="n"/>
    </row>
    <row r="981" ht="15.75" customHeight="1" s="18">
      <c r="C981" s="8" t="n"/>
      <c r="D981" s="8" t="n"/>
      <c r="E981" s="8" t="n"/>
    </row>
    <row r="982" ht="15.75" customHeight="1" s="18">
      <c r="C982" s="8" t="n"/>
      <c r="D982" s="8" t="n"/>
      <c r="E982" s="8" t="n"/>
    </row>
    <row r="983" ht="15.75" customHeight="1" s="18">
      <c r="C983" s="8" t="n"/>
      <c r="D983" s="8" t="n"/>
      <c r="E983" s="8" t="n"/>
    </row>
    <row r="984" ht="15.75" customHeight="1" s="18">
      <c r="C984" s="8" t="n"/>
      <c r="D984" s="8" t="n"/>
      <c r="E984" s="8" t="n"/>
    </row>
    <row r="985" ht="15.75" customHeight="1" s="18">
      <c r="C985" s="8" t="n"/>
      <c r="D985" s="8" t="n"/>
      <c r="E985" s="8" t="n"/>
    </row>
    <row r="986" ht="15.75" customHeight="1" s="18">
      <c r="C986" s="8" t="n"/>
      <c r="D986" s="8" t="n"/>
      <c r="E986" s="8" t="n"/>
    </row>
    <row r="987" ht="15.75" customHeight="1" s="18">
      <c r="C987" s="8" t="n"/>
      <c r="D987" s="8" t="n"/>
      <c r="E987" s="8" t="n"/>
    </row>
    <row r="988" ht="15.75" customHeight="1" s="18">
      <c r="C988" s="8" t="n"/>
      <c r="D988" s="8" t="n"/>
      <c r="E988" s="8" t="n"/>
    </row>
    <row r="989" ht="15.75" customHeight="1" s="18">
      <c r="C989" s="8" t="n"/>
      <c r="D989" s="8" t="n"/>
      <c r="E989" s="8" t="n"/>
    </row>
    <row r="990" ht="15.75" customHeight="1" s="18">
      <c r="C990" s="8" t="n"/>
      <c r="D990" s="8" t="n"/>
      <c r="E990" s="8" t="n"/>
    </row>
    <row r="991" ht="15.75" customHeight="1" s="18">
      <c r="C991" s="8" t="n"/>
      <c r="D991" s="8" t="n"/>
      <c r="E991" s="8" t="n"/>
    </row>
    <row r="992" ht="15.75" customHeight="1" s="18">
      <c r="C992" s="8" t="n"/>
      <c r="D992" s="8" t="n"/>
      <c r="E992" s="8" t="n"/>
    </row>
    <row r="993" ht="15.75" customHeight="1" s="18">
      <c r="C993" s="8" t="n"/>
      <c r="D993" s="8" t="n"/>
      <c r="E993" s="8" t="n"/>
    </row>
    <row r="994" ht="15.75" customHeight="1" s="18">
      <c r="C994" s="8" t="n"/>
      <c r="D994" s="8" t="n"/>
      <c r="E994" s="8" t="n"/>
    </row>
    <row r="995" ht="15.75" customHeight="1" s="18">
      <c r="C995" s="8" t="n"/>
      <c r="D995" s="8" t="n"/>
      <c r="E995" s="8" t="n"/>
    </row>
    <row r="996" ht="15.75" customHeight="1" s="18">
      <c r="C996" s="8" t="n"/>
      <c r="D996" s="8" t="n"/>
      <c r="E996" s="8" t="n"/>
    </row>
    <row r="997" ht="15.75" customHeight="1" s="18">
      <c r="C997" s="8" t="n"/>
      <c r="D997" s="8" t="n"/>
      <c r="E997" s="8" t="n"/>
    </row>
    <row r="998" ht="15.75" customHeight="1" s="18">
      <c r="C998" s="8" t="n"/>
      <c r="D998" s="8" t="n"/>
      <c r="E998" s="8" t="n"/>
    </row>
    <row r="999" ht="15.75" customHeight="1" s="18">
      <c r="C999" s="8" t="n"/>
      <c r="D999" s="8" t="n"/>
      <c r="E999" s="8" t="n"/>
    </row>
    <row r="1000" ht="15.75" customHeight="1" s="18">
      <c r="C1000" s="8" t="n"/>
      <c r="D1000" s="8" t="n"/>
      <c r="E1000" s="8" t="n"/>
    </row>
  </sheetData>
  <dataValidations count="2">
    <dataValidation sqref="C2:D1000" showDropDown="0" showInputMessage="0" showErrorMessage="0" allowBlank="1" type="list">
      <formula1>"Yes,No"</formula1>
    </dataValidation>
    <dataValidation sqref="E2:E1000" showDropDown="0" showInputMessage="0" showErrorMessage="0" allowBlank="1" type="list">
      <formula1>"Yes,Partly,No"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ColWidth="14.43" defaultRowHeight="15" customHeight="1"/>
  <cols>
    <col width="130" customWidth="1" style="18" min="1" max="1"/>
    <col width="8.710000000000001" customWidth="1" style="18" min="2" max="26"/>
  </cols>
  <sheetData>
    <row r="1">
      <c r="A1" s="2" t="inlineStr">
        <is>
          <t>How this tracker works</t>
        </is>
      </c>
    </row>
    <row r="2">
      <c r="A2" s="4" t="inlineStr">
        <is>
          <t>1. Members: one row per member (admins and owner excluded). Names are anonymized placeholders for the demo.</t>
        </is>
      </c>
    </row>
    <row r="3">
      <c r="A3" s="4" t="inlineStr">
        <is>
          <t>2. Join date comes from Skool. Renewal date is the next anniversary of the join date and rolls forward each year.</t>
        </is>
      </c>
    </row>
    <row r="4">
      <c r="A4" s="4" t="inlineStr">
        <is>
          <t>3. Status turns Red if not active in Skool 14+ days or no contact from you in 21+ days; Yellow if inactive 7 to 13 days or renewal within 30 days; Green otherwise.</t>
        </is>
      </c>
    </row>
    <row r="5">
      <c r="A5" s="4" t="inlineStr">
        <is>
          <t>4. Touchpoints: log every DM, call or check-in (pick the member from the dropdown). 'Last contact' on Members fills itself from here.</t>
        </is>
      </c>
    </row>
    <row r="6">
      <c r="A6" s="4" t="inlineStr">
        <is>
          <t>5. Weekly pulse: one row per member each Monday.</t>
        </is>
      </c>
    </row>
    <row r="7">
      <c r="A7" s="4" t="inlineStr">
        <is>
          <t>Northstar Coaching Circle is a fictional demo community. Member names are placeholders; goals are made up.</t>
        </is>
      </c>
    </row>
    <row r="8">
      <c r="A8" s="0" t="inlineStr"/>
    </row>
    <row r="9">
      <c r="A9" s="19" t="inlineStr">
        <is>
          <t>Re-engagement loop (added for the hackathon test)</t>
        </is>
      </c>
    </row>
    <row r="10">
      <c r="A10" s="0" t="inlineStr">
        <is>
          <t>channel: 'none' = draft and review only, never sent. During setup, Fo fills in the tester row(s) with a real name and email and sets channel to 'email'; only those rows can receive a real message.</t>
        </is>
      </c>
    </row>
    <row r="11">
      <c r="A11" s="0" t="inlineStr">
        <is>
          <t>member_id: the loop's ID for each member. IDs ending in 0 or 5 are the hold-back group and are never contacted.</t>
        </is>
      </c>
    </row>
    <row r="12">
      <c r="A12" s="0" t="inlineStr">
        <is>
          <t>Touchpoints: the loop adds member_id, channel, direction (out/in), draft_id and replies; 'Last contact' still fills from here.</t>
        </is>
      </c>
    </row>
    <row r="13">
      <c r="A13" s="0" t="inlineStr">
        <is>
          <t>Status history, Drafts, Conversions, Checks, Scorecard and Run log are written by Fo and Claude. Don't edit them by hand.</t>
        </is>
      </c>
    </row>
    <row r="14">
      <c r="A14" t="inlineStr">
        <is>
          <t>email, posts, intro_posted: from the member export. Emails here are fictional (example.com). posts = 0 and intro_posted = no means the member never got started.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date</t>
        </is>
      </c>
      <c r="B1" s="19" t="inlineStr">
        <is>
          <t>member_id</t>
        </is>
      </c>
      <c r="C1" s="19" t="inlineStr">
        <is>
          <t>stage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draft_id</t>
        </is>
      </c>
      <c r="B1" s="19" t="inlineStr">
        <is>
          <t>date</t>
        </is>
      </c>
      <c r="C1" s="19" t="inlineStr">
        <is>
          <t>member_id</t>
        </is>
      </c>
      <c r="D1" s="19" t="inlineStr">
        <is>
          <t>name</t>
        </is>
      </c>
      <c r="E1" s="19" t="inlineStr">
        <is>
          <t>rule</t>
        </is>
      </c>
      <c r="F1" s="19" t="inlineStr">
        <is>
          <t>reason</t>
        </is>
      </c>
      <c r="G1" s="19" t="inlineStr">
        <is>
          <t>status</t>
        </is>
      </c>
      <c r="H1" s="19" t="inlineStr">
        <is>
          <t>final_text</t>
        </is>
      </c>
      <c r="I1" s="19" t="inlineStr">
        <is>
          <t>approved_at</t>
        </is>
      </c>
      <c r="J1" s="19" t="inlineStr">
        <is>
          <t>sent_at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date</t>
        </is>
      </c>
      <c r="B1" s="19" t="inlineStr">
        <is>
          <t>member_id</t>
        </is>
      </c>
      <c r="C1" s="19" t="inlineStr">
        <is>
          <t>type</t>
        </is>
      </c>
      <c r="D1" s="19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date</t>
        </is>
      </c>
      <c r="B1" s="19" t="inlineStr">
        <is>
          <t>draft_id</t>
        </is>
      </c>
      <c r="C1" s="19" t="inlineStr">
        <is>
          <t>member_id</t>
        </is>
      </c>
      <c r="D1" s="19" t="inlineStr">
        <is>
          <t>flag</t>
        </is>
      </c>
      <c r="E1" s="19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date</t>
        </is>
      </c>
      <c r="B1" s="19" t="inlineStr">
        <is>
          <t>review_minutes</t>
        </is>
      </c>
      <c r="C1" s="19" t="inlineStr">
        <is>
          <t>baseline_minutes</t>
        </is>
      </c>
      <c r="D1" s="19" t="inlineStr">
        <is>
          <t>drafts</t>
        </is>
      </c>
      <c r="E1" s="19" t="inlineStr">
        <is>
          <t>approved</t>
        </is>
      </c>
      <c r="F1" s="19" t="inlineStr">
        <is>
          <t>sent</t>
        </is>
      </c>
      <c r="G1" s="19" t="inlineStr">
        <is>
          <t>contacted_moved_up</t>
        </is>
      </c>
      <c r="H1" s="19" t="inlineStr">
        <is>
          <t>contacted_total</t>
        </is>
      </c>
      <c r="I1" s="19" t="inlineStr">
        <is>
          <t>holdout_moved_up</t>
        </is>
      </c>
      <c r="J1" s="19" t="inlineStr">
        <is>
          <t>holdout_total</t>
        </is>
      </c>
      <c r="K1" s="19" t="inlineStr">
        <is>
          <t>revenue_attributed</t>
        </is>
      </c>
      <c r="L1" s="19" t="inlineStr">
        <is>
          <t>revenue_target</t>
        </is>
      </c>
      <c r="M1" s="19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9" t="inlineStr">
        <is>
          <t>timestamp</t>
        </is>
      </c>
      <c r="B1" s="19" t="inlineStr">
        <is>
          <t>step</t>
        </is>
      </c>
      <c r="C1" s="19" t="inlineStr">
        <is>
          <t>agent</t>
        </is>
      </c>
      <c r="D1" s="19" t="inlineStr">
        <is>
          <t>status</t>
        </is>
      </c>
      <c r="E1" s="19" t="inlineStr">
        <is>
          <t>drafts</t>
        </is>
      </c>
      <c r="F1" s="19" t="inlineStr">
        <is>
          <t>checked</t>
        </is>
      </c>
      <c r="G1" s="19" t="inlineStr">
        <is>
          <t>sent</t>
        </is>
      </c>
      <c r="H1" s="19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Demo member sheet - re-engagement loop</dc:title>
  <dcterms:created xmlns:dcterms="http://purl.org/dc/terms/" xmlns:xsi="http://www.w3.org/2001/XMLSchema-instance" xsi:type="dcterms:W3CDTF">2026-10-17T21:10:16Z</dcterms:created>
  <dcterms:modified xmlns:dcterms="http://purl.org/dc/terms/" xmlns:xsi="http://www.w3.org/2001/XMLSchema-instance" xsi:type="dcterms:W3CDTF">2026-10-18T20:48:36Z</dcterms:modified>
</cp:coreProperties>
</file>